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BOULLET\Downloads\"/>
    </mc:Choice>
  </mc:AlternateContent>
  <xr:revisionPtr revIDLastSave="0" documentId="13_ncr:1_{7DD6C1A5-8C00-4715-8C6F-66E56444E78D}" xr6:coauthVersionLast="47" xr6:coauthVersionMax="47" xr10:uidLastSave="{00000000-0000-0000-0000-000000000000}"/>
  <bookViews>
    <workbookView xWindow="-108" yWindow="-108" windowWidth="30936" windowHeight="16776" activeTab="9" xr2:uid="{00000000-000D-0000-FFFF-FFFF00000000}"/>
  </bookViews>
  <sheets>
    <sheet name="Budget" sheetId="3" r:id="rId1"/>
    <sheet name="Septembre 2026" sheetId="5" r:id="rId2"/>
    <sheet name="Aout 2026" sheetId="6" r:id="rId3"/>
    <sheet name="Juillet 2026" sheetId="7" r:id="rId4"/>
    <sheet name="Juin 2026" sheetId="8" r:id="rId5"/>
    <sheet name="Mai 2026" sheetId="9" r:id="rId6"/>
    <sheet name="Avril 2026" sheetId="10" r:id="rId7"/>
    <sheet name="Mars 2026" sheetId="11" r:id="rId8"/>
    <sheet name="Fevrier 2026" sheetId="12" r:id="rId9"/>
    <sheet name="Janvier 2026" sheetId="13" r:id="rId10"/>
  </sheets>
  <definedNames>
    <definedName name="_xlnm._FilterDatabase" localSheetId="2" hidden="1">'Aout 2026'!$K$1:$K$1014</definedName>
    <definedName name="_xlnm._FilterDatabase" localSheetId="6" hidden="1">'Avril 2026'!$K$1:$K$1011</definedName>
    <definedName name="_xlnm._FilterDatabase" localSheetId="8" hidden="1">'Fevrier 2026'!$K$1:$K$1011</definedName>
    <definedName name="_xlnm._FilterDatabase" localSheetId="9" hidden="1">'Janvier 2026'!$K$1:$K$1011</definedName>
    <definedName name="_xlnm._FilterDatabase" localSheetId="3" hidden="1">'Juillet 2026'!$K$1:$K$1012</definedName>
    <definedName name="_xlnm._FilterDatabase" localSheetId="4" hidden="1">'Juin 2026'!$K$1:$K$1012</definedName>
    <definedName name="_xlnm._FilterDatabase" localSheetId="5" hidden="1">'Mai 2026'!$K$1:$K$1011</definedName>
    <definedName name="_xlnm._FilterDatabase" localSheetId="7" hidden="1">'Mars 2026'!$K$1:$K$1011</definedName>
    <definedName name="_xlnm._FilterDatabase" localSheetId="1" hidden="1">'Septembre 2026'!$K$1:$K$1012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3" l="1"/>
  <c r="D236" i="13"/>
  <c r="C236" i="13"/>
  <c r="B236" i="13"/>
  <c r="A236" i="13"/>
  <c r="D235" i="13"/>
  <c r="C235" i="13"/>
  <c r="B235" i="13"/>
  <c r="A235" i="13"/>
  <c r="D234" i="13"/>
  <c r="C234" i="13"/>
  <c r="B234" i="13"/>
  <c r="A234" i="13"/>
  <c r="D233" i="13"/>
  <c r="C233" i="13"/>
  <c r="B233" i="13"/>
  <c r="A233" i="13"/>
  <c r="D232" i="13"/>
  <c r="C232" i="13"/>
  <c r="B232" i="13"/>
  <c r="A232" i="13"/>
  <c r="D231" i="13"/>
  <c r="C231" i="13"/>
  <c r="B231" i="13"/>
  <c r="A231" i="13"/>
  <c r="D230" i="13"/>
  <c r="C230" i="13"/>
  <c r="B230" i="13"/>
  <c r="A230" i="13"/>
  <c r="D229" i="13"/>
  <c r="C229" i="13"/>
  <c r="B229" i="13"/>
  <c r="A229" i="13"/>
  <c r="D228" i="13"/>
  <c r="C228" i="13"/>
  <c r="B228" i="13"/>
  <c r="A228" i="13"/>
  <c r="D227" i="13"/>
  <c r="C227" i="13"/>
  <c r="B227" i="13"/>
  <c r="A227" i="13"/>
  <c r="D226" i="13"/>
  <c r="C226" i="13"/>
  <c r="B226" i="13"/>
  <c r="A226" i="13"/>
  <c r="D225" i="13"/>
  <c r="C225" i="13"/>
  <c r="B225" i="13"/>
  <c r="A225" i="13"/>
  <c r="D224" i="13"/>
  <c r="C224" i="13"/>
  <c r="B224" i="13"/>
  <c r="A224" i="13"/>
  <c r="D223" i="13"/>
  <c r="C223" i="13"/>
  <c r="B223" i="13"/>
  <c r="A223" i="13"/>
  <c r="D222" i="13"/>
  <c r="C222" i="13"/>
  <c r="B222" i="13"/>
  <c r="A222" i="13"/>
  <c r="D221" i="13"/>
  <c r="C221" i="13"/>
  <c r="B221" i="13"/>
  <c r="A221" i="13"/>
  <c r="D220" i="13"/>
  <c r="C220" i="13"/>
  <c r="B220" i="13"/>
  <c r="A220" i="13"/>
  <c r="D219" i="13"/>
  <c r="C219" i="13"/>
  <c r="B219" i="13"/>
  <c r="A219" i="13"/>
  <c r="D218" i="13"/>
  <c r="C218" i="13"/>
  <c r="B218" i="13"/>
  <c r="A218" i="13"/>
  <c r="D217" i="13"/>
  <c r="C217" i="13"/>
  <c r="B217" i="13"/>
  <c r="A217" i="13"/>
  <c r="D216" i="13"/>
  <c r="C216" i="13"/>
  <c r="B216" i="13"/>
  <c r="A216" i="13"/>
  <c r="D215" i="13"/>
  <c r="C215" i="13"/>
  <c r="B215" i="13"/>
  <c r="A215" i="13"/>
  <c r="D214" i="13"/>
  <c r="C214" i="13"/>
  <c r="B214" i="13"/>
  <c r="A214" i="13"/>
  <c r="J213" i="13"/>
  <c r="D213" i="13"/>
  <c r="C213" i="13"/>
  <c r="B213" i="13"/>
  <c r="A213" i="13"/>
  <c r="J212" i="13"/>
  <c r="D212" i="13"/>
  <c r="C212" i="13"/>
  <c r="B212" i="13"/>
  <c r="A212" i="13"/>
  <c r="J211" i="13"/>
  <c r="D211" i="13"/>
  <c r="C211" i="13"/>
  <c r="B211" i="13"/>
  <c r="A211" i="13"/>
  <c r="J210" i="13"/>
  <c r="D210" i="13"/>
  <c r="C210" i="13"/>
  <c r="B210" i="13"/>
  <c r="A210" i="13"/>
  <c r="J209" i="13"/>
  <c r="D209" i="13"/>
  <c r="C209" i="13"/>
  <c r="B209" i="13"/>
  <c r="A209" i="13"/>
  <c r="J208" i="13"/>
  <c r="D208" i="13"/>
  <c r="C208" i="13"/>
  <c r="B208" i="13"/>
  <c r="A208" i="13"/>
  <c r="J207" i="13"/>
  <c r="D207" i="13"/>
  <c r="C207" i="13"/>
  <c r="B207" i="13"/>
  <c r="A207" i="13"/>
  <c r="J206" i="13"/>
  <c r="D206" i="13"/>
  <c r="C206" i="13"/>
  <c r="B206" i="13"/>
  <c r="A206" i="13"/>
  <c r="J205" i="13"/>
  <c r="D205" i="13"/>
  <c r="C205" i="13"/>
  <c r="B205" i="13"/>
  <c r="A205" i="13"/>
  <c r="J204" i="13"/>
  <c r="D204" i="13"/>
  <c r="C204" i="13"/>
  <c r="B204" i="13"/>
  <c r="A204" i="13"/>
  <c r="J203" i="13"/>
  <c r="D203" i="13"/>
  <c r="C203" i="13"/>
  <c r="B203" i="13"/>
  <c r="A203" i="13"/>
  <c r="J202" i="13"/>
  <c r="D202" i="13"/>
  <c r="C202" i="13"/>
  <c r="B202" i="13"/>
  <c r="A202" i="13"/>
  <c r="J201" i="13"/>
  <c r="D201" i="13"/>
  <c r="C201" i="13"/>
  <c r="B201" i="13"/>
  <c r="A201" i="13"/>
  <c r="J200" i="13"/>
  <c r="D200" i="13"/>
  <c r="C200" i="13"/>
  <c r="B200" i="13"/>
  <c r="A200" i="13"/>
  <c r="J199" i="13"/>
  <c r="D199" i="13"/>
  <c r="C199" i="13"/>
  <c r="B199" i="13"/>
  <c r="A199" i="13"/>
  <c r="J198" i="13"/>
  <c r="D198" i="13"/>
  <c r="C198" i="13"/>
  <c r="B198" i="13"/>
  <c r="A198" i="13"/>
  <c r="J197" i="13"/>
  <c r="D197" i="13"/>
  <c r="C197" i="13"/>
  <c r="B197" i="13"/>
  <c r="A197" i="13"/>
  <c r="J196" i="13"/>
  <c r="D196" i="13"/>
  <c r="C196" i="13"/>
  <c r="B196" i="13"/>
  <c r="A196" i="13"/>
  <c r="J195" i="13"/>
  <c r="D195" i="13"/>
  <c r="C195" i="13"/>
  <c r="B195" i="13"/>
  <c r="A195" i="13"/>
  <c r="J194" i="13"/>
  <c r="D194" i="13"/>
  <c r="C194" i="13"/>
  <c r="B194" i="13"/>
  <c r="A194" i="13"/>
  <c r="J193" i="13"/>
  <c r="D193" i="13"/>
  <c r="C193" i="13"/>
  <c r="B193" i="13"/>
  <c r="A193" i="13"/>
  <c r="J192" i="13"/>
  <c r="D192" i="13"/>
  <c r="C192" i="13"/>
  <c r="B192" i="13"/>
  <c r="A192" i="13"/>
  <c r="J191" i="13"/>
  <c r="D191" i="13"/>
  <c r="C191" i="13"/>
  <c r="B191" i="13"/>
  <c r="A191" i="13"/>
  <c r="J190" i="13"/>
  <c r="D190" i="13"/>
  <c r="C190" i="13"/>
  <c r="B190" i="13"/>
  <c r="A190" i="13"/>
  <c r="J189" i="13"/>
  <c r="D189" i="13"/>
  <c r="C189" i="13"/>
  <c r="B189" i="13"/>
  <c r="A189" i="13"/>
  <c r="J188" i="13"/>
  <c r="D188" i="13"/>
  <c r="C188" i="13"/>
  <c r="B188" i="13"/>
  <c r="A188" i="13"/>
  <c r="J187" i="13"/>
  <c r="D187" i="13"/>
  <c r="C187" i="13"/>
  <c r="B187" i="13"/>
  <c r="A187" i="13"/>
  <c r="J186" i="13"/>
  <c r="D186" i="13"/>
  <c r="C186" i="13"/>
  <c r="B186" i="13"/>
  <c r="A186" i="13"/>
  <c r="J185" i="13"/>
  <c r="D185" i="13"/>
  <c r="C185" i="13"/>
  <c r="B185" i="13"/>
  <c r="A185" i="13"/>
  <c r="J184" i="13"/>
  <c r="D184" i="13"/>
  <c r="C184" i="13"/>
  <c r="B184" i="13"/>
  <c r="A184" i="13"/>
  <c r="J183" i="13"/>
  <c r="D183" i="13"/>
  <c r="C183" i="13"/>
  <c r="B183" i="13"/>
  <c r="A183" i="13"/>
  <c r="J182" i="13"/>
  <c r="D182" i="13"/>
  <c r="C182" i="13"/>
  <c r="B182" i="13"/>
  <c r="A182" i="13"/>
  <c r="J181" i="13"/>
  <c r="D181" i="13"/>
  <c r="C181" i="13"/>
  <c r="B181" i="13"/>
  <c r="A181" i="13"/>
  <c r="J180" i="13"/>
  <c r="D180" i="13"/>
  <c r="C180" i="13"/>
  <c r="B180" i="13"/>
  <c r="A180" i="13"/>
  <c r="J179" i="13"/>
  <c r="D179" i="13"/>
  <c r="C179" i="13"/>
  <c r="B179" i="13"/>
  <c r="A179" i="13"/>
  <c r="J178" i="13"/>
  <c r="D178" i="13"/>
  <c r="C178" i="13"/>
  <c r="B178" i="13"/>
  <c r="A178" i="13"/>
  <c r="J177" i="13"/>
  <c r="D177" i="13"/>
  <c r="C177" i="13"/>
  <c r="B177" i="13"/>
  <c r="A177" i="13"/>
  <c r="J176" i="13"/>
  <c r="D176" i="13"/>
  <c r="C176" i="13"/>
  <c r="B176" i="13"/>
  <c r="A176" i="13"/>
  <c r="J175" i="13"/>
  <c r="D175" i="13"/>
  <c r="C175" i="13"/>
  <c r="B175" i="13"/>
  <c r="A175" i="13"/>
  <c r="J174" i="13"/>
  <c r="D174" i="13"/>
  <c r="C174" i="13"/>
  <c r="B174" i="13"/>
  <c r="A174" i="13"/>
  <c r="J173" i="13"/>
  <c r="D173" i="13"/>
  <c r="C173" i="13"/>
  <c r="B173" i="13"/>
  <c r="A173" i="13"/>
  <c r="J172" i="13"/>
  <c r="D172" i="13"/>
  <c r="C172" i="13"/>
  <c r="B172" i="13"/>
  <c r="A172" i="13"/>
  <c r="J171" i="13"/>
  <c r="D171" i="13"/>
  <c r="C171" i="13"/>
  <c r="B171" i="13"/>
  <c r="A171" i="13"/>
  <c r="J170" i="13"/>
  <c r="D170" i="13"/>
  <c r="C170" i="13"/>
  <c r="B170" i="13"/>
  <c r="A170" i="13"/>
  <c r="J169" i="13"/>
  <c r="D169" i="13"/>
  <c r="C169" i="13"/>
  <c r="B169" i="13"/>
  <c r="A169" i="13"/>
  <c r="J168" i="13"/>
  <c r="D168" i="13"/>
  <c r="C168" i="13"/>
  <c r="B168" i="13"/>
  <c r="A168" i="13"/>
  <c r="J167" i="13"/>
  <c r="D167" i="13"/>
  <c r="C167" i="13"/>
  <c r="B167" i="13"/>
  <c r="A167" i="13"/>
  <c r="J166" i="13"/>
  <c r="D166" i="13"/>
  <c r="C166" i="13"/>
  <c r="B166" i="13"/>
  <c r="A166" i="13"/>
  <c r="J165" i="13"/>
  <c r="D165" i="13"/>
  <c r="C165" i="13"/>
  <c r="B165" i="13"/>
  <c r="A165" i="13"/>
  <c r="J164" i="13"/>
  <c r="D164" i="13"/>
  <c r="C164" i="13"/>
  <c r="B164" i="13"/>
  <c r="A164" i="13"/>
  <c r="J163" i="13"/>
  <c r="D163" i="13"/>
  <c r="C163" i="13"/>
  <c r="B163" i="13"/>
  <c r="A163" i="13"/>
  <c r="J162" i="13"/>
  <c r="D162" i="13"/>
  <c r="C162" i="13"/>
  <c r="B162" i="13"/>
  <c r="A162" i="13"/>
  <c r="J161" i="13"/>
  <c r="D161" i="13"/>
  <c r="C161" i="13"/>
  <c r="B161" i="13"/>
  <c r="A161" i="13"/>
  <c r="J160" i="13"/>
  <c r="D160" i="13"/>
  <c r="C160" i="13"/>
  <c r="B160" i="13"/>
  <c r="A160" i="13"/>
  <c r="J159" i="13"/>
  <c r="D159" i="13"/>
  <c r="C159" i="13"/>
  <c r="B159" i="13"/>
  <c r="A159" i="13"/>
  <c r="J158" i="13"/>
  <c r="D158" i="13"/>
  <c r="C158" i="13"/>
  <c r="B158" i="13"/>
  <c r="A158" i="13"/>
  <c r="J157" i="13"/>
  <c r="D157" i="13"/>
  <c r="C157" i="13"/>
  <c r="B157" i="13"/>
  <c r="A157" i="13"/>
  <c r="J156" i="13"/>
  <c r="D156" i="13"/>
  <c r="C156" i="13"/>
  <c r="B156" i="13"/>
  <c r="A156" i="13"/>
  <c r="J155" i="13"/>
  <c r="D155" i="13"/>
  <c r="C155" i="13"/>
  <c r="B155" i="13"/>
  <c r="A155" i="13"/>
  <c r="J154" i="13"/>
  <c r="D154" i="13"/>
  <c r="C154" i="13"/>
  <c r="B154" i="13"/>
  <c r="A154" i="13"/>
  <c r="J153" i="13"/>
  <c r="D153" i="13"/>
  <c r="C153" i="13"/>
  <c r="B153" i="13"/>
  <c r="A153" i="13"/>
  <c r="J152" i="13"/>
  <c r="D152" i="13"/>
  <c r="C152" i="13"/>
  <c r="B152" i="13"/>
  <c r="A152" i="13"/>
  <c r="J151" i="13"/>
  <c r="D151" i="13"/>
  <c r="C151" i="13"/>
  <c r="B151" i="13"/>
  <c r="A151" i="13"/>
  <c r="J150" i="13"/>
  <c r="D150" i="13"/>
  <c r="C150" i="13"/>
  <c r="B150" i="13"/>
  <c r="A150" i="13"/>
  <c r="J149" i="13"/>
  <c r="D149" i="13"/>
  <c r="C149" i="13"/>
  <c r="B149" i="13"/>
  <c r="A149" i="13"/>
  <c r="J148" i="13"/>
  <c r="D148" i="13"/>
  <c r="C148" i="13"/>
  <c r="B148" i="13"/>
  <c r="A148" i="13"/>
  <c r="J147" i="13"/>
  <c r="D147" i="13"/>
  <c r="C147" i="13"/>
  <c r="B147" i="13"/>
  <c r="A147" i="13"/>
  <c r="J146" i="13"/>
  <c r="D146" i="13"/>
  <c r="C146" i="13"/>
  <c r="B146" i="13"/>
  <c r="A146" i="13"/>
  <c r="J145" i="13"/>
  <c r="D145" i="13"/>
  <c r="C145" i="13"/>
  <c r="B145" i="13"/>
  <c r="A145" i="13"/>
  <c r="J144" i="13"/>
  <c r="D144" i="13"/>
  <c r="C144" i="13"/>
  <c r="B144" i="13"/>
  <c r="A144" i="13"/>
  <c r="J143" i="13"/>
  <c r="D143" i="13"/>
  <c r="C143" i="13"/>
  <c r="B143" i="13"/>
  <c r="A143" i="13"/>
  <c r="J142" i="13"/>
  <c r="D142" i="13"/>
  <c r="C142" i="13"/>
  <c r="B142" i="13"/>
  <c r="A142" i="13"/>
  <c r="J141" i="13"/>
  <c r="D141" i="13"/>
  <c r="C141" i="13"/>
  <c r="B141" i="13"/>
  <c r="A141" i="13"/>
  <c r="J140" i="13"/>
  <c r="D140" i="13"/>
  <c r="C140" i="13"/>
  <c r="B140" i="13"/>
  <c r="A140" i="13"/>
  <c r="J139" i="13"/>
  <c r="D139" i="13"/>
  <c r="C139" i="13"/>
  <c r="B139" i="13"/>
  <c r="A139" i="13"/>
  <c r="J138" i="13"/>
  <c r="D138" i="13"/>
  <c r="C138" i="13"/>
  <c r="B138" i="13"/>
  <c r="A138" i="13"/>
  <c r="J137" i="13"/>
  <c r="D137" i="13"/>
  <c r="C137" i="13"/>
  <c r="B137" i="13"/>
  <c r="A137" i="13"/>
  <c r="J136" i="13"/>
  <c r="D136" i="13"/>
  <c r="C136" i="13"/>
  <c r="B136" i="13"/>
  <c r="A136" i="13"/>
  <c r="J135" i="13"/>
  <c r="D135" i="13"/>
  <c r="C135" i="13"/>
  <c r="B135" i="13"/>
  <c r="A135" i="13"/>
  <c r="J134" i="13"/>
  <c r="D134" i="13"/>
  <c r="C134" i="13"/>
  <c r="B134" i="13"/>
  <c r="A134" i="13"/>
  <c r="J133" i="13"/>
  <c r="D133" i="13"/>
  <c r="C133" i="13"/>
  <c r="B133" i="13"/>
  <c r="A133" i="13"/>
  <c r="J132" i="13"/>
  <c r="D132" i="13"/>
  <c r="C132" i="13"/>
  <c r="B132" i="13"/>
  <c r="A132" i="13"/>
  <c r="J131" i="13"/>
  <c r="D131" i="13"/>
  <c r="C131" i="13"/>
  <c r="B131" i="13"/>
  <c r="A131" i="13"/>
  <c r="J130" i="13"/>
  <c r="D130" i="13"/>
  <c r="C130" i="13"/>
  <c r="B130" i="13"/>
  <c r="A130" i="13"/>
  <c r="J129" i="13"/>
  <c r="D129" i="13"/>
  <c r="C129" i="13"/>
  <c r="B129" i="13"/>
  <c r="A129" i="13"/>
  <c r="J128" i="13"/>
  <c r="D128" i="13"/>
  <c r="C128" i="13"/>
  <c r="B128" i="13"/>
  <c r="A128" i="13"/>
  <c r="J127" i="13"/>
  <c r="D127" i="13"/>
  <c r="C127" i="13"/>
  <c r="B127" i="13"/>
  <c r="A127" i="13"/>
  <c r="J126" i="13"/>
  <c r="D126" i="13"/>
  <c r="C126" i="13"/>
  <c r="B126" i="13"/>
  <c r="A126" i="13"/>
  <c r="J125" i="13"/>
  <c r="D125" i="13"/>
  <c r="C125" i="13"/>
  <c r="B125" i="13"/>
  <c r="A125" i="13"/>
  <c r="J124" i="13"/>
  <c r="D124" i="13"/>
  <c r="C124" i="13"/>
  <c r="B124" i="13"/>
  <c r="A124" i="13"/>
  <c r="J123" i="13"/>
  <c r="D123" i="13"/>
  <c r="C123" i="13"/>
  <c r="B123" i="13"/>
  <c r="A123" i="13"/>
  <c r="J122" i="13"/>
  <c r="D122" i="13"/>
  <c r="C122" i="13"/>
  <c r="B122" i="13"/>
  <c r="A122" i="13"/>
  <c r="J121" i="13"/>
  <c r="D121" i="13"/>
  <c r="C121" i="13"/>
  <c r="B121" i="13"/>
  <c r="A121" i="13"/>
  <c r="J120" i="13"/>
  <c r="C120" i="13"/>
  <c r="A120" i="13"/>
  <c r="J119" i="13"/>
  <c r="D119" i="13"/>
  <c r="C119" i="13"/>
  <c r="B119" i="13"/>
  <c r="A119" i="13"/>
  <c r="J118" i="13"/>
  <c r="D118" i="13"/>
  <c r="C118" i="13"/>
  <c r="B118" i="13"/>
  <c r="A118" i="13"/>
  <c r="J117" i="13"/>
  <c r="D117" i="13"/>
  <c r="C117" i="13"/>
  <c r="B117" i="13"/>
  <c r="A117" i="13"/>
  <c r="J116" i="13"/>
  <c r="D116" i="13"/>
  <c r="C116" i="13"/>
  <c r="B116" i="13"/>
  <c r="A116" i="13"/>
  <c r="J115" i="13"/>
  <c r="D115" i="13"/>
  <c r="C115" i="13"/>
  <c r="B115" i="13"/>
  <c r="A115" i="13"/>
  <c r="J114" i="13"/>
  <c r="D114" i="13"/>
  <c r="C114" i="13"/>
  <c r="B114" i="13"/>
  <c r="A114" i="13"/>
  <c r="J113" i="13"/>
  <c r="D113" i="13"/>
  <c r="C113" i="13"/>
  <c r="B113" i="13"/>
  <c r="A113" i="13"/>
  <c r="J112" i="13"/>
  <c r="D112" i="13"/>
  <c r="C112" i="13"/>
  <c r="B112" i="13"/>
  <c r="A112" i="13"/>
  <c r="J111" i="13"/>
  <c r="D111" i="13"/>
  <c r="C111" i="13"/>
  <c r="B111" i="13"/>
  <c r="A111" i="13"/>
  <c r="J110" i="13"/>
  <c r="D110" i="13"/>
  <c r="C110" i="13"/>
  <c r="B110" i="13"/>
  <c r="A110" i="13"/>
  <c r="J109" i="13"/>
  <c r="D109" i="13"/>
  <c r="C109" i="13"/>
  <c r="B109" i="13"/>
  <c r="A109" i="13"/>
  <c r="J108" i="13"/>
  <c r="D108" i="13"/>
  <c r="C108" i="13"/>
  <c r="B108" i="13"/>
  <c r="A108" i="13"/>
  <c r="J107" i="13"/>
  <c r="D107" i="13"/>
  <c r="C107" i="13"/>
  <c r="B107" i="13"/>
  <c r="A107" i="13"/>
  <c r="J106" i="13"/>
  <c r="D106" i="13"/>
  <c r="C106" i="13"/>
  <c r="B106" i="13"/>
  <c r="A106" i="13"/>
  <c r="J105" i="13"/>
  <c r="D105" i="13"/>
  <c r="C105" i="13"/>
  <c r="B105" i="13"/>
  <c r="A105" i="13"/>
  <c r="J104" i="13"/>
  <c r="D104" i="13"/>
  <c r="C104" i="13"/>
  <c r="B104" i="13"/>
  <c r="A104" i="13"/>
  <c r="J103" i="13"/>
  <c r="D103" i="13"/>
  <c r="C103" i="13"/>
  <c r="B103" i="13"/>
  <c r="A103" i="13"/>
  <c r="J102" i="13"/>
  <c r="D102" i="13"/>
  <c r="C102" i="13"/>
  <c r="B102" i="13"/>
  <c r="A102" i="13"/>
  <c r="J101" i="13"/>
  <c r="D101" i="13"/>
  <c r="C101" i="13"/>
  <c r="B101" i="13"/>
  <c r="A101" i="13"/>
  <c r="J100" i="13"/>
  <c r="D100" i="13"/>
  <c r="C100" i="13"/>
  <c r="B100" i="13"/>
  <c r="A100" i="13"/>
  <c r="J99" i="13"/>
  <c r="D99" i="13"/>
  <c r="C99" i="13"/>
  <c r="B99" i="13"/>
  <c r="A99" i="13"/>
  <c r="J98" i="13"/>
  <c r="D98" i="13"/>
  <c r="C98" i="13"/>
  <c r="B98" i="13"/>
  <c r="A98" i="13"/>
  <c r="J97" i="13"/>
  <c r="D97" i="13"/>
  <c r="C97" i="13"/>
  <c r="B97" i="13"/>
  <c r="A97" i="13"/>
  <c r="J96" i="13"/>
  <c r="D96" i="13"/>
  <c r="C96" i="13"/>
  <c r="B96" i="13"/>
  <c r="A96" i="13"/>
  <c r="J95" i="13"/>
  <c r="D95" i="13"/>
  <c r="C95" i="13"/>
  <c r="B95" i="13"/>
  <c r="A95" i="13"/>
  <c r="J94" i="13"/>
  <c r="D94" i="13"/>
  <c r="C94" i="13"/>
  <c r="B94" i="13"/>
  <c r="A94" i="13"/>
  <c r="J93" i="13"/>
  <c r="D93" i="13"/>
  <c r="C93" i="13"/>
  <c r="B93" i="13"/>
  <c r="A93" i="13"/>
  <c r="J92" i="13"/>
  <c r="D92" i="13"/>
  <c r="C92" i="13"/>
  <c r="B92" i="13"/>
  <c r="A92" i="13"/>
  <c r="J91" i="13"/>
  <c r="D91" i="13"/>
  <c r="C91" i="13"/>
  <c r="B91" i="13"/>
  <c r="A91" i="13"/>
  <c r="J90" i="13"/>
  <c r="D90" i="13"/>
  <c r="C90" i="13"/>
  <c r="B90" i="13"/>
  <c r="A90" i="13"/>
  <c r="J89" i="13"/>
  <c r="D89" i="13"/>
  <c r="C89" i="13"/>
  <c r="B89" i="13"/>
  <c r="A89" i="13"/>
  <c r="J88" i="13"/>
  <c r="D88" i="13"/>
  <c r="C88" i="13"/>
  <c r="B88" i="13"/>
  <c r="A88" i="13"/>
  <c r="J87" i="13"/>
  <c r="D87" i="13"/>
  <c r="C87" i="13"/>
  <c r="B87" i="13"/>
  <c r="A87" i="13"/>
  <c r="J86" i="13"/>
  <c r="D86" i="13"/>
  <c r="C86" i="13"/>
  <c r="B86" i="13"/>
  <c r="A86" i="13"/>
  <c r="J85" i="13"/>
  <c r="D85" i="13"/>
  <c r="C85" i="13"/>
  <c r="B85" i="13"/>
  <c r="A85" i="13"/>
  <c r="J84" i="13"/>
  <c r="D84" i="13"/>
  <c r="C84" i="13"/>
  <c r="B84" i="13"/>
  <c r="A84" i="13"/>
  <c r="J83" i="13"/>
  <c r="D83" i="13"/>
  <c r="C83" i="13"/>
  <c r="B83" i="13"/>
  <c r="A83" i="13"/>
  <c r="J82" i="13"/>
  <c r="D82" i="13"/>
  <c r="C82" i="13"/>
  <c r="B82" i="13"/>
  <c r="A82" i="13"/>
  <c r="J81" i="13"/>
  <c r="D81" i="13"/>
  <c r="C81" i="13"/>
  <c r="B81" i="13"/>
  <c r="A81" i="13"/>
  <c r="J80" i="13"/>
  <c r="D80" i="13"/>
  <c r="C80" i="13"/>
  <c r="B80" i="13"/>
  <c r="A80" i="13"/>
  <c r="J79" i="13"/>
  <c r="D79" i="13"/>
  <c r="C79" i="13"/>
  <c r="B79" i="13"/>
  <c r="A79" i="13"/>
  <c r="J78" i="13"/>
  <c r="D78" i="13"/>
  <c r="C78" i="13"/>
  <c r="B78" i="13"/>
  <c r="A78" i="13"/>
  <c r="J77" i="13"/>
  <c r="D77" i="13"/>
  <c r="C77" i="13"/>
  <c r="B77" i="13"/>
  <c r="A77" i="13"/>
  <c r="J76" i="13"/>
  <c r="D76" i="13"/>
  <c r="C76" i="13"/>
  <c r="B76" i="13"/>
  <c r="A76" i="13"/>
  <c r="J75" i="13"/>
  <c r="D75" i="13"/>
  <c r="C75" i="13"/>
  <c r="B75" i="13"/>
  <c r="A75" i="13"/>
  <c r="J74" i="13"/>
  <c r="D74" i="13"/>
  <c r="C74" i="13"/>
  <c r="B74" i="13"/>
  <c r="A74" i="13"/>
  <c r="J73" i="13"/>
  <c r="D73" i="13"/>
  <c r="C73" i="13"/>
  <c r="B73" i="13"/>
  <c r="A73" i="13"/>
  <c r="J72" i="13"/>
  <c r="D72" i="13"/>
  <c r="C72" i="13"/>
  <c r="B72" i="13"/>
  <c r="A72" i="13"/>
  <c r="J71" i="13"/>
  <c r="D71" i="13"/>
  <c r="C71" i="13"/>
  <c r="B71" i="13"/>
  <c r="A71" i="13"/>
  <c r="J70" i="13"/>
  <c r="D70" i="13"/>
  <c r="C70" i="13"/>
  <c r="B70" i="13"/>
  <c r="A70" i="13"/>
  <c r="J69" i="13"/>
  <c r="D69" i="13"/>
  <c r="C69" i="13"/>
  <c r="B69" i="13"/>
  <c r="A69" i="13"/>
  <c r="J68" i="13"/>
  <c r="D68" i="13"/>
  <c r="C68" i="13"/>
  <c r="B68" i="13"/>
  <c r="A68" i="13"/>
  <c r="J67" i="13"/>
  <c r="D67" i="13"/>
  <c r="C67" i="13"/>
  <c r="B67" i="13"/>
  <c r="A67" i="13"/>
  <c r="J66" i="13"/>
  <c r="D66" i="13"/>
  <c r="C66" i="13"/>
  <c r="B66" i="13"/>
  <c r="A66" i="13"/>
  <c r="J65" i="13"/>
  <c r="D65" i="13"/>
  <c r="C65" i="13"/>
  <c r="B65" i="13"/>
  <c r="A65" i="13"/>
  <c r="J64" i="13"/>
  <c r="D64" i="13"/>
  <c r="C64" i="13"/>
  <c r="B64" i="13"/>
  <c r="A64" i="13"/>
  <c r="J63" i="13"/>
  <c r="D63" i="13"/>
  <c r="C63" i="13"/>
  <c r="B63" i="13"/>
  <c r="A63" i="13"/>
  <c r="J62" i="13"/>
  <c r="D62" i="13"/>
  <c r="C62" i="13"/>
  <c r="B62" i="13"/>
  <c r="A62" i="13"/>
  <c r="J61" i="13"/>
  <c r="D61" i="13"/>
  <c r="C61" i="13"/>
  <c r="B61" i="13"/>
  <c r="A61" i="13"/>
  <c r="J60" i="13"/>
  <c r="D60" i="13"/>
  <c r="C60" i="13"/>
  <c r="B60" i="13"/>
  <c r="A60" i="13"/>
  <c r="J59" i="13"/>
  <c r="D59" i="13"/>
  <c r="C59" i="13"/>
  <c r="B59" i="13"/>
  <c r="A59" i="13"/>
  <c r="J58" i="13"/>
  <c r="D58" i="13"/>
  <c r="C58" i="13"/>
  <c r="B58" i="13"/>
  <c r="A58" i="13"/>
  <c r="J57" i="13"/>
  <c r="D57" i="13"/>
  <c r="C57" i="13"/>
  <c r="B57" i="13"/>
  <c r="A57" i="13"/>
  <c r="J56" i="13"/>
  <c r="D56" i="13"/>
  <c r="C56" i="13"/>
  <c r="B56" i="13"/>
  <c r="A56" i="13"/>
  <c r="J55" i="13"/>
  <c r="D55" i="13"/>
  <c r="C55" i="13"/>
  <c r="B55" i="13"/>
  <c r="A55" i="13"/>
  <c r="J54" i="13"/>
  <c r="D54" i="13"/>
  <c r="C54" i="13"/>
  <c r="B54" i="13"/>
  <c r="A54" i="13"/>
  <c r="J53" i="13"/>
  <c r="D53" i="13"/>
  <c r="C53" i="13"/>
  <c r="B53" i="13"/>
  <c r="A53" i="13"/>
  <c r="J52" i="13"/>
  <c r="D52" i="13"/>
  <c r="C52" i="13"/>
  <c r="B52" i="13"/>
  <c r="A52" i="13"/>
  <c r="J51" i="13"/>
  <c r="D51" i="13"/>
  <c r="C51" i="13"/>
  <c r="B51" i="13"/>
  <c r="A51" i="13"/>
  <c r="J50" i="13"/>
  <c r="D50" i="13"/>
  <c r="C50" i="13"/>
  <c r="B50" i="13"/>
  <c r="A50" i="13"/>
  <c r="J49" i="13"/>
  <c r="D49" i="13"/>
  <c r="C49" i="13"/>
  <c r="B49" i="13"/>
  <c r="A49" i="13"/>
  <c r="J48" i="13"/>
  <c r="D48" i="13"/>
  <c r="C48" i="13"/>
  <c r="B48" i="13"/>
  <c r="A48" i="13"/>
  <c r="J47" i="13"/>
  <c r="D47" i="13"/>
  <c r="C47" i="13"/>
  <c r="B47" i="13"/>
  <c r="A47" i="13"/>
  <c r="J46" i="13"/>
  <c r="D46" i="13"/>
  <c r="C46" i="13"/>
  <c r="B46" i="13"/>
  <c r="A46" i="13"/>
  <c r="J45" i="13"/>
  <c r="D45" i="13"/>
  <c r="C45" i="13"/>
  <c r="B45" i="13"/>
  <c r="A45" i="13"/>
  <c r="J44" i="13"/>
  <c r="F42" i="13" s="1"/>
  <c r="D44" i="13"/>
  <c r="C44" i="13"/>
  <c r="B44" i="13"/>
  <c r="A44" i="13"/>
  <c r="C41" i="13"/>
  <c r="F40" i="13"/>
  <c r="C40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40" i="13" s="1"/>
  <c r="D236" i="12"/>
  <c r="C236" i="12"/>
  <c r="B236" i="12"/>
  <c r="A236" i="12"/>
  <c r="D235" i="12"/>
  <c r="C235" i="12"/>
  <c r="B235" i="12"/>
  <c r="A235" i="12"/>
  <c r="D234" i="12"/>
  <c r="C234" i="12"/>
  <c r="B234" i="12"/>
  <c r="A234" i="12"/>
  <c r="D233" i="12"/>
  <c r="C233" i="12"/>
  <c r="B233" i="12"/>
  <c r="A233" i="12"/>
  <c r="D232" i="12"/>
  <c r="C232" i="12"/>
  <c r="B232" i="12"/>
  <c r="A232" i="12"/>
  <c r="D231" i="12"/>
  <c r="C231" i="12"/>
  <c r="B231" i="12"/>
  <c r="A231" i="12"/>
  <c r="D230" i="12"/>
  <c r="C230" i="12"/>
  <c r="B230" i="12"/>
  <c r="A230" i="12"/>
  <c r="D229" i="12"/>
  <c r="C229" i="12"/>
  <c r="B229" i="12"/>
  <c r="A229" i="12"/>
  <c r="D228" i="12"/>
  <c r="C228" i="12"/>
  <c r="B228" i="12"/>
  <c r="A228" i="12"/>
  <c r="D227" i="12"/>
  <c r="C227" i="12"/>
  <c r="B227" i="12"/>
  <c r="A227" i="12"/>
  <c r="D226" i="12"/>
  <c r="C226" i="12"/>
  <c r="B226" i="12"/>
  <c r="A226" i="12"/>
  <c r="D225" i="12"/>
  <c r="C225" i="12"/>
  <c r="B225" i="12"/>
  <c r="A225" i="12"/>
  <c r="D224" i="12"/>
  <c r="C224" i="12"/>
  <c r="B224" i="12"/>
  <c r="A224" i="12"/>
  <c r="D223" i="12"/>
  <c r="C223" i="12"/>
  <c r="B223" i="12"/>
  <c r="A223" i="12"/>
  <c r="D222" i="12"/>
  <c r="C222" i="12"/>
  <c r="B222" i="12"/>
  <c r="A222" i="12"/>
  <c r="D221" i="12"/>
  <c r="C221" i="12"/>
  <c r="B221" i="12"/>
  <c r="A221" i="12"/>
  <c r="D220" i="12"/>
  <c r="C220" i="12"/>
  <c r="B220" i="12"/>
  <c r="A220" i="12"/>
  <c r="D219" i="12"/>
  <c r="C219" i="12"/>
  <c r="B219" i="12"/>
  <c r="A219" i="12"/>
  <c r="D218" i="12"/>
  <c r="C218" i="12"/>
  <c r="B218" i="12"/>
  <c r="A218" i="12"/>
  <c r="D217" i="12"/>
  <c r="C217" i="12"/>
  <c r="B217" i="12"/>
  <c r="A217" i="12"/>
  <c r="D216" i="12"/>
  <c r="C216" i="12"/>
  <c r="B216" i="12"/>
  <c r="A216" i="12"/>
  <c r="D215" i="12"/>
  <c r="C215" i="12"/>
  <c r="B215" i="12"/>
  <c r="A215" i="12"/>
  <c r="D214" i="12"/>
  <c r="C214" i="12"/>
  <c r="B214" i="12"/>
  <c r="A214" i="12"/>
  <c r="J213" i="12"/>
  <c r="D213" i="12"/>
  <c r="C213" i="12"/>
  <c r="B213" i="12"/>
  <c r="A213" i="12"/>
  <c r="J212" i="12"/>
  <c r="D212" i="12"/>
  <c r="C212" i="12"/>
  <c r="B212" i="12"/>
  <c r="A212" i="12"/>
  <c r="J211" i="12"/>
  <c r="D211" i="12"/>
  <c r="C211" i="12"/>
  <c r="B211" i="12"/>
  <c r="A211" i="12"/>
  <c r="J210" i="12"/>
  <c r="D210" i="12"/>
  <c r="C210" i="12"/>
  <c r="B210" i="12"/>
  <c r="A210" i="12"/>
  <c r="J209" i="12"/>
  <c r="D209" i="12"/>
  <c r="C209" i="12"/>
  <c r="B209" i="12"/>
  <c r="A209" i="12"/>
  <c r="J208" i="12"/>
  <c r="D208" i="12"/>
  <c r="C208" i="12"/>
  <c r="B208" i="12"/>
  <c r="A208" i="12"/>
  <c r="J207" i="12"/>
  <c r="D207" i="12"/>
  <c r="C207" i="12"/>
  <c r="B207" i="12"/>
  <c r="A207" i="12"/>
  <c r="J206" i="12"/>
  <c r="D206" i="12"/>
  <c r="C206" i="12"/>
  <c r="B206" i="12"/>
  <c r="A206" i="12"/>
  <c r="J205" i="12"/>
  <c r="D205" i="12"/>
  <c r="C205" i="12"/>
  <c r="B205" i="12"/>
  <c r="A205" i="12"/>
  <c r="J204" i="12"/>
  <c r="D204" i="12"/>
  <c r="C204" i="12"/>
  <c r="B204" i="12"/>
  <c r="A204" i="12"/>
  <c r="J203" i="12"/>
  <c r="D203" i="12"/>
  <c r="C203" i="12"/>
  <c r="B203" i="12"/>
  <c r="A203" i="12"/>
  <c r="J202" i="12"/>
  <c r="D202" i="12"/>
  <c r="C202" i="12"/>
  <c r="B202" i="12"/>
  <c r="A202" i="12"/>
  <c r="J201" i="12"/>
  <c r="D201" i="12"/>
  <c r="C201" i="12"/>
  <c r="B201" i="12"/>
  <c r="A201" i="12"/>
  <c r="J200" i="12"/>
  <c r="D200" i="12"/>
  <c r="C200" i="12"/>
  <c r="B200" i="12"/>
  <c r="A200" i="12"/>
  <c r="J199" i="12"/>
  <c r="D199" i="12"/>
  <c r="C199" i="12"/>
  <c r="B199" i="12"/>
  <c r="A199" i="12"/>
  <c r="J198" i="12"/>
  <c r="D198" i="12"/>
  <c r="C198" i="12"/>
  <c r="B198" i="12"/>
  <c r="A198" i="12"/>
  <c r="J197" i="12"/>
  <c r="D197" i="12"/>
  <c r="C197" i="12"/>
  <c r="B197" i="12"/>
  <c r="A197" i="12"/>
  <c r="J196" i="12"/>
  <c r="D196" i="12"/>
  <c r="C196" i="12"/>
  <c r="B196" i="12"/>
  <c r="A196" i="12"/>
  <c r="J195" i="12"/>
  <c r="D195" i="12"/>
  <c r="C195" i="12"/>
  <c r="B195" i="12"/>
  <c r="A195" i="12"/>
  <c r="J194" i="12"/>
  <c r="D194" i="12"/>
  <c r="C194" i="12"/>
  <c r="B194" i="12"/>
  <c r="A194" i="12"/>
  <c r="J193" i="12"/>
  <c r="D193" i="12"/>
  <c r="C193" i="12"/>
  <c r="B193" i="12"/>
  <c r="A193" i="12"/>
  <c r="J192" i="12"/>
  <c r="D192" i="12"/>
  <c r="C192" i="12"/>
  <c r="B192" i="12"/>
  <c r="A192" i="12"/>
  <c r="J191" i="12"/>
  <c r="D191" i="12"/>
  <c r="C191" i="12"/>
  <c r="B191" i="12"/>
  <c r="A191" i="12"/>
  <c r="J190" i="12"/>
  <c r="D190" i="12"/>
  <c r="C190" i="12"/>
  <c r="B190" i="12"/>
  <c r="A190" i="12"/>
  <c r="J189" i="12"/>
  <c r="D189" i="12"/>
  <c r="C189" i="12"/>
  <c r="B189" i="12"/>
  <c r="A189" i="12"/>
  <c r="J188" i="12"/>
  <c r="D188" i="12"/>
  <c r="C188" i="12"/>
  <c r="B188" i="12"/>
  <c r="A188" i="12"/>
  <c r="J187" i="12"/>
  <c r="D187" i="12"/>
  <c r="C187" i="12"/>
  <c r="B187" i="12"/>
  <c r="A187" i="12"/>
  <c r="J186" i="12"/>
  <c r="D186" i="12"/>
  <c r="C186" i="12"/>
  <c r="B186" i="12"/>
  <c r="A186" i="12"/>
  <c r="J185" i="12"/>
  <c r="D185" i="12"/>
  <c r="C185" i="12"/>
  <c r="B185" i="12"/>
  <c r="A185" i="12"/>
  <c r="J184" i="12"/>
  <c r="D184" i="12"/>
  <c r="C184" i="12"/>
  <c r="B184" i="12"/>
  <c r="A184" i="12"/>
  <c r="J183" i="12"/>
  <c r="D183" i="12"/>
  <c r="C183" i="12"/>
  <c r="B183" i="12"/>
  <c r="A183" i="12"/>
  <c r="J182" i="12"/>
  <c r="D182" i="12"/>
  <c r="C182" i="12"/>
  <c r="B182" i="12"/>
  <c r="A182" i="12"/>
  <c r="J181" i="12"/>
  <c r="D181" i="12"/>
  <c r="C181" i="12"/>
  <c r="B181" i="12"/>
  <c r="A181" i="12"/>
  <c r="J180" i="12"/>
  <c r="D180" i="12"/>
  <c r="C180" i="12"/>
  <c r="B180" i="12"/>
  <c r="A180" i="12"/>
  <c r="J179" i="12"/>
  <c r="D179" i="12"/>
  <c r="C179" i="12"/>
  <c r="B179" i="12"/>
  <c r="A179" i="12"/>
  <c r="J178" i="12"/>
  <c r="D178" i="12"/>
  <c r="C178" i="12"/>
  <c r="B178" i="12"/>
  <c r="A178" i="12"/>
  <c r="J177" i="12"/>
  <c r="D177" i="12"/>
  <c r="C177" i="12"/>
  <c r="B177" i="12"/>
  <c r="A177" i="12"/>
  <c r="J176" i="12"/>
  <c r="D176" i="12"/>
  <c r="C176" i="12"/>
  <c r="B176" i="12"/>
  <c r="A176" i="12"/>
  <c r="J175" i="12"/>
  <c r="D175" i="12"/>
  <c r="C175" i="12"/>
  <c r="B175" i="12"/>
  <c r="A175" i="12"/>
  <c r="J174" i="12"/>
  <c r="D174" i="12"/>
  <c r="C174" i="12"/>
  <c r="B174" i="12"/>
  <c r="A174" i="12"/>
  <c r="J173" i="12"/>
  <c r="D173" i="12"/>
  <c r="C173" i="12"/>
  <c r="B173" i="12"/>
  <c r="A173" i="12"/>
  <c r="J172" i="12"/>
  <c r="D172" i="12"/>
  <c r="C172" i="12"/>
  <c r="B172" i="12"/>
  <c r="A172" i="12"/>
  <c r="J171" i="12"/>
  <c r="D171" i="12"/>
  <c r="C171" i="12"/>
  <c r="B171" i="12"/>
  <c r="A171" i="12"/>
  <c r="J170" i="12"/>
  <c r="D170" i="12"/>
  <c r="C170" i="12"/>
  <c r="B170" i="12"/>
  <c r="A170" i="12"/>
  <c r="J169" i="12"/>
  <c r="D169" i="12"/>
  <c r="C169" i="12"/>
  <c r="B169" i="12"/>
  <c r="A169" i="12"/>
  <c r="J168" i="12"/>
  <c r="D168" i="12"/>
  <c r="C168" i="12"/>
  <c r="B168" i="12"/>
  <c r="A168" i="12"/>
  <c r="J167" i="12"/>
  <c r="D167" i="12"/>
  <c r="C167" i="12"/>
  <c r="B167" i="12"/>
  <c r="A167" i="12"/>
  <c r="J166" i="12"/>
  <c r="D166" i="12"/>
  <c r="C166" i="12"/>
  <c r="B166" i="12"/>
  <c r="A166" i="12"/>
  <c r="J165" i="12"/>
  <c r="D165" i="12"/>
  <c r="C165" i="12"/>
  <c r="B165" i="12"/>
  <c r="A165" i="12"/>
  <c r="J164" i="12"/>
  <c r="D164" i="12"/>
  <c r="C164" i="12"/>
  <c r="B164" i="12"/>
  <c r="A164" i="12"/>
  <c r="J163" i="12"/>
  <c r="D163" i="12"/>
  <c r="C163" i="12"/>
  <c r="B163" i="12"/>
  <c r="A163" i="12"/>
  <c r="J162" i="12"/>
  <c r="D162" i="12"/>
  <c r="C162" i="12"/>
  <c r="B162" i="12"/>
  <c r="A162" i="12"/>
  <c r="J161" i="12"/>
  <c r="D161" i="12"/>
  <c r="C161" i="12"/>
  <c r="B161" i="12"/>
  <c r="A161" i="12"/>
  <c r="J160" i="12"/>
  <c r="D160" i="12"/>
  <c r="C160" i="12"/>
  <c r="B160" i="12"/>
  <c r="A160" i="12"/>
  <c r="J159" i="12"/>
  <c r="D159" i="12"/>
  <c r="C159" i="12"/>
  <c r="B159" i="12"/>
  <c r="A159" i="12"/>
  <c r="J158" i="12"/>
  <c r="D158" i="12"/>
  <c r="C158" i="12"/>
  <c r="B158" i="12"/>
  <c r="A158" i="12"/>
  <c r="J157" i="12"/>
  <c r="D157" i="12"/>
  <c r="C157" i="12"/>
  <c r="B157" i="12"/>
  <c r="A157" i="12"/>
  <c r="J156" i="12"/>
  <c r="D156" i="12"/>
  <c r="C156" i="12"/>
  <c r="B156" i="12"/>
  <c r="A156" i="12"/>
  <c r="J155" i="12"/>
  <c r="D155" i="12"/>
  <c r="C155" i="12"/>
  <c r="B155" i="12"/>
  <c r="A155" i="12"/>
  <c r="J154" i="12"/>
  <c r="D154" i="12"/>
  <c r="C154" i="12"/>
  <c r="B154" i="12"/>
  <c r="A154" i="12"/>
  <c r="J153" i="12"/>
  <c r="D153" i="12"/>
  <c r="C153" i="12"/>
  <c r="B153" i="12"/>
  <c r="A153" i="12"/>
  <c r="J152" i="12"/>
  <c r="D152" i="12"/>
  <c r="C152" i="12"/>
  <c r="B152" i="12"/>
  <c r="A152" i="12"/>
  <c r="J151" i="12"/>
  <c r="D151" i="12"/>
  <c r="C151" i="12"/>
  <c r="B151" i="12"/>
  <c r="A151" i="12"/>
  <c r="J150" i="12"/>
  <c r="D150" i="12"/>
  <c r="C150" i="12"/>
  <c r="B150" i="12"/>
  <c r="A150" i="12"/>
  <c r="J149" i="12"/>
  <c r="D149" i="12"/>
  <c r="C149" i="12"/>
  <c r="B149" i="12"/>
  <c r="A149" i="12"/>
  <c r="J148" i="12"/>
  <c r="D148" i="12"/>
  <c r="C148" i="12"/>
  <c r="B148" i="12"/>
  <c r="A148" i="12"/>
  <c r="J147" i="12"/>
  <c r="D147" i="12"/>
  <c r="C147" i="12"/>
  <c r="B147" i="12"/>
  <c r="A147" i="12"/>
  <c r="J146" i="12"/>
  <c r="D146" i="12"/>
  <c r="C146" i="12"/>
  <c r="B146" i="12"/>
  <c r="A146" i="12"/>
  <c r="J145" i="12"/>
  <c r="D145" i="12"/>
  <c r="C145" i="12"/>
  <c r="B145" i="12"/>
  <c r="A145" i="12"/>
  <c r="J144" i="12"/>
  <c r="D144" i="12"/>
  <c r="C144" i="12"/>
  <c r="B144" i="12"/>
  <c r="A144" i="12"/>
  <c r="J143" i="12"/>
  <c r="D143" i="12"/>
  <c r="C143" i="12"/>
  <c r="B143" i="12"/>
  <c r="A143" i="12"/>
  <c r="J142" i="12"/>
  <c r="D142" i="12"/>
  <c r="C142" i="12"/>
  <c r="B142" i="12"/>
  <c r="A142" i="12"/>
  <c r="J141" i="12"/>
  <c r="D141" i="12"/>
  <c r="C141" i="12"/>
  <c r="B141" i="12"/>
  <c r="A141" i="12"/>
  <c r="J140" i="12"/>
  <c r="D140" i="12"/>
  <c r="C140" i="12"/>
  <c r="B140" i="12"/>
  <c r="A140" i="12"/>
  <c r="J139" i="12"/>
  <c r="D139" i="12"/>
  <c r="C139" i="12"/>
  <c r="B139" i="12"/>
  <c r="A139" i="12"/>
  <c r="J138" i="12"/>
  <c r="D138" i="12"/>
  <c r="C138" i="12"/>
  <c r="B138" i="12"/>
  <c r="A138" i="12"/>
  <c r="J137" i="12"/>
  <c r="D137" i="12"/>
  <c r="C137" i="12"/>
  <c r="B137" i="12"/>
  <c r="A137" i="12"/>
  <c r="J136" i="12"/>
  <c r="D136" i="12"/>
  <c r="C136" i="12"/>
  <c r="B136" i="12"/>
  <c r="A136" i="12"/>
  <c r="J135" i="12"/>
  <c r="D135" i="12"/>
  <c r="C135" i="12"/>
  <c r="B135" i="12"/>
  <c r="A135" i="12"/>
  <c r="J134" i="12"/>
  <c r="C134" i="12"/>
  <c r="A134" i="12"/>
  <c r="J133" i="12"/>
  <c r="D133" i="12"/>
  <c r="C133" i="12"/>
  <c r="B133" i="12"/>
  <c r="A133" i="12"/>
  <c r="J132" i="12"/>
  <c r="D132" i="12"/>
  <c r="C132" i="12"/>
  <c r="B132" i="12"/>
  <c r="A132" i="12"/>
  <c r="J131" i="12"/>
  <c r="D131" i="12"/>
  <c r="C131" i="12"/>
  <c r="B131" i="12"/>
  <c r="A131" i="12"/>
  <c r="J130" i="12"/>
  <c r="D130" i="12"/>
  <c r="C130" i="12"/>
  <c r="B130" i="12"/>
  <c r="A130" i="12"/>
  <c r="J129" i="12"/>
  <c r="D129" i="12"/>
  <c r="C129" i="12"/>
  <c r="B129" i="12"/>
  <c r="A129" i="12"/>
  <c r="J128" i="12"/>
  <c r="D128" i="12"/>
  <c r="C128" i="12"/>
  <c r="B128" i="12"/>
  <c r="A128" i="12"/>
  <c r="J127" i="12"/>
  <c r="D127" i="12"/>
  <c r="C127" i="12"/>
  <c r="B127" i="12"/>
  <c r="A127" i="12"/>
  <c r="J126" i="12"/>
  <c r="D126" i="12"/>
  <c r="C126" i="12"/>
  <c r="B126" i="12"/>
  <c r="A126" i="12"/>
  <c r="J125" i="12"/>
  <c r="D125" i="12"/>
  <c r="C125" i="12"/>
  <c r="B125" i="12"/>
  <c r="A125" i="12"/>
  <c r="J124" i="12"/>
  <c r="D124" i="12"/>
  <c r="C124" i="12"/>
  <c r="B124" i="12"/>
  <c r="A124" i="12"/>
  <c r="J123" i="12"/>
  <c r="D123" i="12"/>
  <c r="C123" i="12"/>
  <c r="B123" i="12"/>
  <c r="A123" i="12"/>
  <c r="J122" i="12"/>
  <c r="D122" i="12"/>
  <c r="C122" i="12"/>
  <c r="B122" i="12"/>
  <c r="A122" i="12"/>
  <c r="J121" i="12"/>
  <c r="D121" i="12"/>
  <c r="C121" i="12"/>
  <c r="B121" i="12"/>
  <c r="A121" i="12"/>
  <c r="J120" i="12"/>
  <c r="D120" i="12"/>
  <c r="C120" i="12"/>
  <c r="B120" i="12"/>
  <c r="A120" i="12"/>
  <c r="J119" i="12"/>
  <c r="D119" i="12"/>
  <c r="C119" i="12"/>
  <c r="B119" i="12"/>
  <c r="A119" i="12"/>
  <c r="J118" i="12"/>
  <c r="D118" i="12"/>
  <c r="C118" i="12"/>
  <c r="B118" i="12"/>
  <c r="A118" i="12"/>
  <c r="J117" i="12"/>
  <c r="D117" i="12"/>
  <c r="C117" i="12"/>
  <c r="B117" i="12"/>
  <c r="A117" i="12"/>
  <c r="J116" i="12"/>
  <c r="D116" i="12"/>
  <c r="C116" i="12"/>
  <c r="B116" i="12"/>
  <c r="A116" i="12"/>
  <c r="J115" i="12"/>
  <c r="D115" i="12"/>
  <c r="C115" i="12"/>
  <c r="B115" i="12"/>
  <c r="A115" i="12"/>
  <c r="J114" i="12"/>
  <c r="D114" i="12"/>
  <c r="C114" i="12"/>
  <c r="B114" i="12"/>
  <c r="A114" i="12"/>
  <c r="J113" i="12"/>
  <c r="D113" i="12"/>
  <c r="C113" i="12"/>
  <c r="B113" i="12"/>
  <c r="A113" i="12"/>
  <c r="J112" i="12"/>
  <c r="D112" i="12"/>
  <c r="C112" i="12"/>
  <c r="B112" i="12"/>
  <c r="A112" i="12"/>
  <c r="J111" i="12"/>
  <c r="D111" i="12"/>
  <c r="C111" i="12"/>
  <c r="B111" i="12"/>
  <c r="A111" i="12"/>
  <c r="J110" i="12"/>
  <c r="D110" i="12"/>
  <c r="C110" i="12"/>
  <c r="B110" i="12"/>
  <c r="A110" i="12"/>
  <c r="J109" i="12"/>
  <c r="D109" i="12"/>
  <c r="C109" i="12"/>
  <c r="B109" i="12"/>
  <c r="A109" i="12"/>
  <c r="J108" i="12"/>
  <c r="D108" i="12"/>
  <c r="C108" i="12"/>
  <c r="B108" i="12"/>
  <c r="A108" i="12"/>
  <c r="J107" i="12"/>
  <c r="D107" i="12"/>
  <c r="C107" i="12"/>
  <c r="B107" i="12"/>
  <c r="A107" i="12"/>
  <c r="J106" i="12"/>
  <c r="D106" i="12"/>
  <c r="C106" i="12"/>
  <c r="B106" i="12"/>
  <c r="A106" i="12"/>
  <c r="J105" i="12"/>
  <c r="D105" i="12"/>
  <c r="C105" i="12"/>
  <c r="B105" i="12"/>
  <c r="A105" i="12"/>
  <c r="J104" i="12"/>
  <c r="D104" i="12"/>
  <c r="C104" i="12"/>
  <c r="B104" i="12"/>
  <c r="A104" i="12"/>
  <c r="J103" i="12"/>
  <c r="D103" i="12"/>
  <c r="C103" i="12"/>
  <c r="B103" i="12"/>
  <c r="A103" i="12"/>
  <c r="J102" i="12"/>
  <c r="D102" i="12"/>
  <c r="C102" i="12"/>
  <c r="B102" i="12"/>
  <c r="A102" i="12"/>
  <c r="J101" i="12"/>
  <c r="D101" i="12"/>
  <c r="C101" i="12"/>
  <c r="B101" i="12"/>
  <c r="A101" i="12"/>
  <c r="J100" i="12"/>
  <c r="D100" i="12"/>
  <c r="C100" i="12"/>
  <c r="B100" i="12"/>
  <c r="A100" i="12"/>
  <c r="J99" i="12"/>
  <c r="D99" i="12"/>
  <c r="C99" i="12"/>
  <c r="B99" i="12"/>
  <c r="A99" i="12"/>
  <c r="J98" i="12"/>
  <c r="D98" i="12"/>
  <c r="C98" i="12"/>
  <c r="B98" i="12"/>
  <c r="A98" i="12"/>
  <c r="J97" i="12"/>
  <c r="D97" i="12"/>
  <c r="C97" i="12"/>
  <c r="B97" i="12"/>
  <c r="A97" i="12"/>
  <c r="J96" i="12"/>
  <c r="D96" i="12"/>
  <c r="C96" i="12"/>
  <c r="B96" i="12"/>
  <c r="A96" i="12"/>
  <c r="J95" i="12"/>
  <c r="D95" i="12"/>
  <c r="C95" i="12"/>
  <c r="B95" i="12"/>
  <c r="A95" i="12"/>
  <c r="J94" i="12"/>
  <c r="D94" i="12"/>
  <c r="C94" i="12"/>
  <c r="B94" i="12"/>
  <c r="A94" i="12"/>
  <c r="J93" i="12"/>
  <c r="D93" i="12"/>
  <c r="C93" i="12"/>
  <c r="B93" i="12"/>
  <c r="A93" i="12"/>
  <c r="J92" i="12"/>
  <c r="D92" i="12"/>
  <c r="C92" i="12"/>
  <c r="B92" i="12"/>
  <c r="A92" i="12"/>
  <c r="J91" i="12"/>
  <c r="D91" i="12"/>
  <c r="C91" i="12"/>
  <c r="B91" i="12"/>
  <c r="A91" i="12"/>
  <c r="J90" i="12"/>
  <c r="D90" i="12"/>
  <c r="C90" i="12"/>
  <c r="B90" i="12"/>
  <c r="A90" i="12"/>
  <c r="J89" i="12"/>
  <c r="D89" i="12"/>
  <c r="C89" i="12"/>
  <c r="B89" i="12"/>
  <c r="A89" i="12"/>
  <c r="J88" i="12"/>
  <c r="D88" i="12"/>
  <c r="C88" i="12"/>
  <c r="B88" i="12"/>
  <c r="A88" i="12"/>
  <c r="J87" i="12"/>
  <c r="D87" i="12"/>
  <c r="C87" i="12"/>
  <c r="B87" i="12"/>
  <c r="A87" i="12"/>
  <c r="J86" i="12"/>
  <c r="D86" i="12"/>
  <c r="C86" i="12"/>
  <c r="B86" i="12"/>
  <c r="A86" i="12"/>
  <c r="J85" i="12"/>
  <c r="D85" i="12"/>
  <c r="C85" i="12"/>
  <c r="B85" i="12"/>
  <c r="A85" i="12"/>
  <c r="J84" i="12"/>
  <c r="D84" i="12"/>
  <c r="C84" i="12"/>
  <c r="B84" i="12"/>
  <c r="A84" i="12"/>
  <c r="J83" i="12"/>
  <c r="D83" i="12"/>
  <c r="C83" i="12"/>
  <c r="B83" i="12"/>
  <c r="A83" i="12"/>
  <c r="J82" i="12"/>
  <c r="D82" i="12"/>
  <c r="C82" i="12"/>
  <c r="B82" i="12"/>
  <c r="A82" i="12"/>
  <c r="J81" i="12"/>
  <c r="D81" i="12"/>
  <c r="C81" i="12"/>
  <c r="B81" i="12"/>
  <c r="A81" i="12"/>
  <c r="J80" i="12"/>
  <c r="D80" i="12"/>
  <c r="C80" i="12"/>
  <c r="B80" i="12"/>
  <c r="A80" i="12"/>
  <c r="J79" i="12"/>
  <c r="D79" i="12"/>
  <c r="C79" i="12"/>
  <c r="B79" i="12"/>
  <c r="A79" i="12"/>
  <c r="J78" i="12"/>
  <c r="D78" i="12"/>
  <c r="C78" i="12"/>
  <c r="B78" i="12"/>
  <c r="A78" i="12"/>
  <c r="J77" i="12"/>
  <c r="D77" i="12"/>
  <c r="C77" i="12"/>
  <c r="B77" i="12"/>
  <c r="A77" i="12"/>
  <c r="J76" i="12"/>
  <c r="D76" i="12"/>
  <c r="C76" i="12"/>
  <c r="B76" i="12"/>
  <c r="A76" i="12"/>
  <c r="J75" i="12"/>
  <c r="D75" i="12"/>
  <c r="C75" i="12"/>
  <c r="B75" i="12"/>
  <c r="A75" i="12"/>
  <c r="J74" i="12"/>
  <c r="D74" i="12"/>
  <c r="C74" i="12"/>
  <c r="B74" i="12"/>
  <c r="A74" i="12"/>
  <c r="J73" i="12"/>
  <c r="D73" i="12"/>
  <c r="C73" i="12"/>
  <c r="B73" i="12"/>
  <c r="A73" i="12"/>
  <c r="J72" i="12"/>
  <c r="D72" i="12"/>
  <c r="C72" i="12"/>
  <c r="B72" i="12"/>
  <c r="A72" i="12"/>
  <c r="J71" i="12"/>
  <c r="D71" i="12"/>
  <c r="C71" i="12"/>
  <c r="B71" i="12"/>
  <c r="A71" i="12"/>
  <c r="J70" i="12"/>
  <c r="D70" i="12"/>
  <c r="C70" i="12"/>
  <c r="B70" i="12"/>
  <c r="A70" i="12"/>
  <c r="J69" i="12"/>
  <c r="D69" i="12"/>
  <c r="C69" i="12"/>
  <c r="B69" i="12"/>
  <c r="A69" i="12"/>
  <c r="J68" i="12"/>
  <c r="D68" i="12"/>
  <c r="C68" i="12"/>
  <c r="B68" i="12"/>
  <c r="A68" i="12"/>
  <c r="J67" i="12"/>
  <c r="D67" i="12"/>
  <c r="C67" i="12"/>
  <c r="B67" i="12"/>
  <c r="A67" i="12"/>
  <c r="J66" i="12"/>
  <c r="D66" i="12"/>
  <c r="C66" i="12"/>
  <c r="B66" i="12"/>
  <c r="A66" i="12"/>
  <c r="J65" i="12"/>
  <c r="D65" i="12"/>
  <c r="C65" i="12"/>
  <c r="B65" i="12"/>
  <c r="A65" i="12"/>
  <c r="J64" i="12"/>
  <c r="D64" i="12"/>
  <c r="C64" i="12"/>
  <c r="B64" i="12"/>
  <c r="A64" i="12"/>
  <c r="J63" i="12"/>
  <c r="D63" i="12"/>
  <c r="C63" i="12"/>
  <c r="B63" i="12"/>
  <c r="A63" i="12"/>
  <c r="J62" i="12"/>
  <c r="D62" i="12"/>
  <c r="C62" i="12"/>
  <c r="B62" i="12"/>
  <c r="A62" i="12"/>
  <c r="J61" i="12"/>
  <c r="D61" i="12"/>
  <c r="C61" i="12"/>
  <c r="B61" i="12"/>
  <c r="A61" i="12"/>
  <c r="J60" i="12"/>
  <c r="D60" i="12"/>
  <c r="C60" i="12"/>
  <c r="B60" i="12"/>
  <c r="A60" i="12"/>
  <c r="J59" i="12"/>
  <c r="D59" i="12"/>
  <c r="C59" i="12"/>
  <c r="B59" i="12"/>
  <c r="A59" i="12"/>
  <c r="J58" i="12"/>
  <c r="D58" i="12"/>
  <c r="C58" i="12"/>
  <c r="B58" i="12"/>
  <c r="A58" i="12"/>
  <c r="J57" i="12"/>
  <c r="D57" i="12"/>
  <c r="C57" i="12"/>
  <c r="B57" i="12"/>
  <c r="A57" i="12"/>
  <c r="J56" i="12"/>
  <c r="D56" i="12"/>
  <c r="C56" i="12"/>
  <c r="B56" i="12"/>
  <c r="A56" i="12"/>
  <c r="J55" i="12"/>
  <c r="D55" i="12"/>
  <c r="C55" i="12"/>
  <c r="B55" i="12"/>
  <c r="A55" i="12"/>
  <c r="J54" i="12"/>
  <c r="D54" i="12"/>
  <c r="C54" i="12"/>
  <c r="B54" i="12"/>
  <c r="A54" i="12"/>
  <c r="J53" i="12"/>
  <c r="D53" i="12"/>
  <c r="C53" i="12"/>
  <c r="B53" i="12"/>
  <c r="A53" i="12"/>
  <c r="J52" i="12"/>
  <c r="D52" i="12"/>
  <c r="C52" i="12"/>
  <c r="B52" i="12"/>
  <c r="A52" i="12"/>
  <c r="J51" i="12"/>
  <c r="D51" i="12"/>
  <c r="C51" i="12"/>
  <c r="B51" i="12"/>
  <c r="A51" i="12"/>
  <c r="J50" i="12"/>
  <c r="D50" i="12"/>
  <c r="C50" i="12"/>
  <c r="B50" i="12"/>
  <c r="A50" i="12"/>
  <c r="J49" i="12"/>
  <c r="D49" i="12"/>
  <c r="C49" i="12"/>
  <c r="B49" i="12"/>
  <c r="A49" i="12"/>
  <c r="J48" i="12"/>
  <c r="D48" i="12"/>
  <c r="C48" i="12"/>
  <c r="B48" i="12"/>
  <c r="A48" i="12"/>
  <c r="J47" i="12"/>
  <c r="F42" i="12" s="1"/>
  <c r="D47" i="12"/>
  <c r="C47" i="12"/>
  <c r="B47" i="12"/>
  <c r="A47" i="12"/>
  <c r="J46" i="12"/>
  <c r="D46" i="12"/>
  <c r="C46" i="12"/>
  <c r="B46" i="12"/>
  <c r="A46" i="12"/>
  <c r="J45" i="12"/>
  <c r="D45" i="12"/>
  <c r="C45" i="12"/>
  <c r="B45" i="12"/>
  <c r="A45" i="12"/>
  <c r="J44" i="12"/>
  <c r="D44" i="12"/>
  <c r="C44" i="12"/>
  <c r="B44" i="12"/>
  <c r="A44" i="12"/>
  <c r="C41" i="12"/>
  <c r="F40" i="12"/>
  <c r="C40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40" i="12" s="1"/>
  <c r="H7" i="12"/>
  <c r="H6" i="12"/>
  <c r="H5" i="12"/>
  <c r="H4" i="12"/>
  <c r="H3" i="12"/>
  <c r="D236" i="11"/>
  <c r="C236" i="11"/>
  <c r="B236" i="11"/>
  <c r="A236" i="11"/>
  <c r="D235" i="11"/>
  <c r="C235" i="11"/>
  <c r="B235" i="11"/>
  <c r="A235" i="11"/>
  <c r="D234" i="11"/>
  <c r="C234" i="11"/>
  <c r="B234" i="11"/>
  <c r="A234" i="11"/>
  <c r="D233" i="11"/>
  <c r="C233" i="11"/>
  <c r="B233" i="11"/>
  <c r="A233" i="11"/>
  <c r="D232" i="11"/>
  <c r="C232" i="11"/>
  <c r="B232" i="11"/>
  <c r="A232" i="11"/>
  <c r="D231" i="11"/>
  <c r="C231" i="11"/>
  <c r="B231" i="11"/>
  <c r="A231" i="11"/>
  <c r="D230" i="11"/>
  <c r="C230" i="11"/>
  <c r="B230" i="11"/>
  <c r="A230" i="11"/>
  <c r="D229" i="11"/>
  <c r="C229" i="11"/>
  <c r="B229" i="11"/>
  <c r="A229" i="11"/>
  <c r="D228" i="11"/>
  <c r="C228" i="11"/>
  <c r="B228" i="11"/>
  <c r="A228" i="11"/>
  <c r="D227" i="11"/>
  <c r="C227" i="11"/>
  <c r="B227" i="11"/>
  <c r="A227" i="11"/>
  <c r="D226" i="11"/>
  <c r="C226" i="11"/>
  <c r="B226" i="11"/>
  <c r="A226" i="11"/>
  <c r="D225" i="11"/>
  <c r="C225" i="11"/>
  <c r="B225" i="11"/>
  <c r="A225" i="11"/>
  <c r="D224" i="11"/>
  <c r="C224" i="11"/>
  <c r="B224" i="11"/>
  <c r="A224" i="11"/>
  <c r="D223" i="11"/>
  <c r="C223" i="11"/>
  <c r="B223" i="11"/>
  <c r="A223" i="11"/>
  <c r="D222" i="11"/>
  <c r="C222" i="11"/>
  <c r="B222" i="11"/>
  <c r="A222" i="11"/>
  <c r="D221" i="11"/>
  <c r="C221" i="11"/>
  <c r="B221" i="11"/>
  <c r="A221" i="11"/>
  <c r="D220" i="11"/>
  <c r="C220" i="11"/>
  <c r="B220" i="11"/>
  <c r="A220" i="11"/>
  <c r="D219" i="11"/>
  <c r="C219" i="11"/>
  <c r="B219" i="11"/>
  <c r="A219" i="11"/>
  <c r="D218" i="11"/>
  <c r="C218" i="11"/>
  <c r="B218" i="11"/>
  <c r="A218" i="11"/>
  <c r="D217" i="11"/>
  <c r="C217" i="11"/>
  <c r="B217" i="11"/>
  <c r="A217" i="11"/>
  <c r="D216" i="11"/>
  <c r="C216" i="11"/>
  <c r="B216" i="11"/>
  <c r="A216" i="11"/>
  <c r="D215" i="11"/>
  <c r="C215" i="11"/>
  <c r="B215" i="11"/>
  <c r="A215" i="11"/>
  <c r="D214" i="11"/>
  <c r="C214" i="11"/>
  <c r="B214" i="11"/>
  <c r="A214" i="11"/>
  <c r="J213" i="11"/>
  <c r="D213" i="11"/>
  <c r="C213" i="11"/>
  <c r="B213" i="11"/>
  <c r="A213" i="11"/>
  <c r="J212" i="11"/>
  <c r="D212" i="11"/>
  <c r="C212" i="11"/>
  <c r="B212" i="11"/>
  <c r="A212" i="11"/>
  <c r="J211" i="11"/>
  <c r="D211" i="11"/>
  <c r="C211" i="11"/>
  <c r="B211" i="11"/>
  <c r="A211" i="11"/>
  <c r="J210" i="11"/>
  <c r="D210" i="11"/>
  <c r="C210" i="11"/>
  <c r="B210" i="11"/>
  <c r="A210" i="11"/>
  <c r="J209" i="11"/>
  <c r="D209" i="11"/>
  <c r="C209" i="11"/>
  <c r="B209" i="11"/>
  <c r="A209" i="11"/>
  <c r="J208" i="11"/>
  <c r="D208" i="11"/>
  <c r="C208" i="11"/>
  <c r="B208" i="11"/>
  <c r="A208" i="11"/>
  <c r="J207" i="11"/>
  <c r="D207" i="11"/>
  <c r="C207" i="11"/>
  <c r="B207" i="11"/>
  <c r="A207" i="11"/>
  <c r="J206" i="11"/>
  <c r="D206" i="11"/>
  <c r="C206" i="11"/>
  <c r="B206" i="11"/>
  <c r="A206" i="11"/>
  <c r="J205" i="11"/>
  <c r="D205" i="11"/>
  <c r="C205" i="11"/>
  <c r="B205" i="11"/>
  <c r="A205" i="11"/>
  <c r="J204" i="11"/>
  <c r="D204" i="11"/>
  <c r="C204" i="11"/>
  <c r="B204" i="11"/>
  <c r="A204" i="11"/>
  <c r="J203" i="11"/>
  <c r="D203" i="11"/>
  <c r="C203" i="11"/>
  <c r="B203" i="11"/>
  <c r="A203" i="11"/>
  <c r="J202" i="11"/>
  <c r="D202" i="11"/>
  <c r="C202" i="11"/>
  <c r="B202" i="11"/>
  <c r="A202" i="11"/>
  <c r="J201" i="11"/>
  <c r="D201" i="11"/>
  <c r="C201" i="11"/>
  <c r="B201" i="11"/>
  <c r="A201" i="11"/>
  <c r="J200" i="11"/>
  <c r="D200" i="11"/>
  <c r="C200" i="11"/>
  <c r="B200" i="11"/>
  <c r="A200" i="11"/>
  <c r="J199" i="11"/>
  <c r="D199" i="11"/>
  <c r="C199" i="11"/>
  <c r="B199" i="11"/>
  <c r="A199" i="11"/>
  <c r="J198" i="11"/>
  <c r="D198" i="11"/>
  <c r="C198" i="11"/>
  <c r="B198" i="11"/>
  <c r="A198" i="11"/>
  <c r="J197" i="11"/>
  <c r="D197" i="11"/>
  <c r="C197" i="11"/>
  <c r="B197" i="11"/>
  <c r="A197" i="11"/>
  <c r="J196" i="11"/>
  <c r="D196" i="11"/>
  <c r="C196" i="11"/>
  <c r="B196" i="11"/>
  <c r="A196" i="11"/>
  <c r="J195" i="11"/>
  <c r="D195" i="11"/>
  <c r="C195" i="11"/>
  <c r="B195" i="11"/>
  <c r="A195" i="11"/>
  <c r="J194" i="11"/>
  <c r="D194" i="11"/>
  <c r="C194" i="11"/>
  <c r="B194" i="11"/>
  <c r="A194" i="11"/>
  <c r="J193" i="11"/>
  <c r="D193" i="11"/>
  <c r="C193" i="11"/>
  <c r="B193" i="11"/>
  <c r="A193" i="11"/>
  <c r="J192" i="11"/>
  <c r="D192" i="11"/>
  <c r="C192" i="11"/>
  <c r="B192" i="11"/>
  <c r="A192" i="11"/>
  <c r="J191" i="11"/>
  <c r="D191" i="11"/>
  <c r="C191" i="11"/>
  <c r="B191" i="11"/>
  <c r="A191" i="11"/>
  <c r="J190" i="11"/>
  <c r="D190" i="11"/>
  <c r="C190" i="11"/>
  <c r="B190" i="11"/>
  <c r="A190" i="11"/>
  <c r="J189" i="11"/>
  <c r="D189" i="11"/>
  <c r="C189" i="11"/>
  <c r="B189" i="11"/>
  <c r="A189" i="11"/>
  <c r="J188" i="11"/>
  <c r="D188" i="11"/>
  <c r="C188" i="11"/>
  <c r="B188" i="11"/>
  <c r="A188" i="11"/>
  <c r="J187" i="11"/>
  <c r="D187" i="11"/>
  <c r="C187" i="11"/>
  <c r="B187" i="11"/>
  <c r="A187" i="11"/>
  <c r="J186" i="11"/>
  <c r="D186" i="11"/>
  <c r="C186" i="11"/>
  <c r="B186" i="11"/>
  <c r="A186" i="11"/>
  <c r="J185" i="11"/>
  <c r="D185" i="11"/>
  <c r="C185" i="11"/>
  <c r="B185" i="11"/>
  <c r="A185" i="11"/>
  <c r="J184" i="11"/>
  <c r="D184" i="11"/>
  <c r="C184" i="11"/>
  <c r="B184" i="11"/>
  <c r="A184" i="11"/>
  <c r="J183" i="11"/>
  <c r="D183" i="11"/>
  <c r="C183" i="11"/>
  <c r="B183" i="11"/>
  <c r="A183" i="11"/>
  <c r="J182" i="11"/>
  <c r="D182" i="11"/>
  <c r="C182" i="11"/>
  <c r="B182" i="11"/>
  <c r="A182" i="11"/>
  <c r="J181" i="11"/>
  <c r="D181" i="11"/>
  <c r="C181" i="11"/>
  <c r="B181" i="11"/>
  <c r="A181" i="11"/>
  <c r="J180" i="11"/>
  <c r="D180" i="11"/>
  <c r="C180" i="11"/>
  <c r="B180" i="11"/>
  <c r="A180" i="11"/>
  <c r="J179" i="11"/>
  <c r="D179" i="11"/>
  <c r="C179" i="11"/>
  <c r="B179" i="11"/>
  <c r="A179" i="11"/>
  <c r="J178" i="11"/>
  <c r="D178" i="11"/>
  <c r="C178" i="11"/>
  <c r="B178" i="11"/>
  <c r="A178" i="11"/>
  <c r="J177" i="11"/>
  <c r="D177" i="11"/>
  <c r="C177" i="11"/>
  <c r="B177" i="11"/>
  <c r="A177" i="11"/>
  <c r="J176" i="11"/>
  <c r="D176" i="11"/>
  <c r="C176" i="11"/>
  <c r="B176" i="11"/>
  <c r="A176" i="11"/>
  <c r="J175" i="11"/>
  <c r="D175" i="11"/>
  <c r="C175" i="11"/>
  <c r="B175" i="11"/>
  <c r="A175" i="11"/>
  <c r="J174" i="11"/>
  <c r="D174" i="11"/>
  <c r="C174" i="11"/>
  <c r="B174" i="11"/>
  <c r="A174" i="11"/>
  <c r="J173" i="11"/>
  <c r="D173" i="11"/>
  <c r="C173" i="11"/>
  <c r="B173" i="11"/>
  <c r="A173" i="11"/>
  <c r="J172" i="11"/>
  <c r="D172" i="11"/>
  <c r="C172" i="11"/>
  <c r="B172" i="11"/>
  <c r="A172" i="11"/>
  <c r="J171" i="11"/>
  <c r="D171" i="11"/>
  <c r="C171" i="11"/>
  <c r="B171" i="11"/>
  <c r="A171" i="11"/>
  <c r="J170" i="11"/>
  <c r="D170" i="11"/>
  <c r="C170" i="11"/>
  <c r="B170" i="11"/>
  <c r="A170" i="11"/>
  <c r="J169" i="11"/>
  <c r="D169" i="11"/>
  <c r="C169" i="11"/>
  <c r="B169" i="11"/>
  <c r="A169" i="11"/>
  <c r="J168" i="11"/>
  <c r="D168" i="11"/>
  <c r="C168" i="11"/>
  <c r="B168" i="11"/>
  <c r="A168" i="11"/>
  <c r="J167" i="11"/>
  <c r="D167" i="11"/>
  <c r="C167" i="11"/>
  <c r="B167" i="11"/>
  <c r="A167" i="11"/>
  <c r="J166" i="11"/>
  <c r="D166" i="11"/>
  <c r="C166" i="11"/>
  <c r="B166" i="11"/>
  <c r="A166" i="11"/>
  <c r="J165" i="11"/>
  <c r="D165" i="11"/>
  <c r="C165" i="11"/>
  <c r="B165" i="11"/>
  <c r="A165" i="11"/>
  <c r="J164" i="11"/>
  <c r="D164" i="11"/>
  <c r="C164" i="11"/>
  <c r="B164" i="11"/>
  <c r="A164" i="11"/>
  <c r="J163" i="11"/>
  <c r="D163" i="11"/>
  <c r="C163" i="11"/>
  <c r="B163" i="11"/>
  <c r="A163" i="11"/>
  <c r="J162" i="11"/>
  <c r="D162" i="11"/>
  <c r="C162" i="11"/>
  <c r="B162" i="11"/>
  <c r="A162" i="11"/>
  <c r="J161" i="11"/>
  <c r="D161" i="11"/>
  <c r="C161" i="11"/>
  <c r="B161" i="11"/>
  <c r="A161" i="11"/>
  <c r="J160" i="11"/>
  <c r="D160" i="11"/>
  <c r="C160" i="11"/>
  <c r="B160" i="11"/>
  <c r="A160" i="11"/>
  <c r="J159" i="11"/>
  <c r="D159" i="11"/>
  <c r="C159" i="11"/>
  <c r="B159" i="11"/>
  <c r="A159" i="11"/>
  <c r="J158" i="11"/>
  <c r="D158" i="11"/>
  <c r="C158" i="11"/>
  <c r="B158" i="11"/>
  <c r="A158" i="11"/>
  <c r="J157" i="11"/>
  <c r="D157" i="11"/>
  <c r="C157" i="11"/>
  <c r="B157" i="11"/>
  <c r="A157" i="11"/>
  <c r="J156" i="11"/>
  <c r="D156" i="11"/>
  <c r="C156" i="11"/>
  <c r="B156" i="11"/>
  <c r="A156" i="11"/>
  <c r="J155" i="11"/>
  <c r="D155" i="11"/>
  <c r="C155" i="11"/>
  <c r="B155" i="11"/>
  <c r="A155" i="11"/>
  <c r="J154" i="11"/>
  <c r="D154" i="11"/>
  <c r="C154" i="11"/>
  <c r="B154" i="11"/>
  <c r="A154" i="11"/>
  <c r="J153" i="11"/>
  <c r="D153" i="11"/>
  <c r="C153" i="11"/>
  <c r="B153" i="11"/>
  <c r="A153" i="11"/>
  <c r="J152" i="11"/>
  <c r="D152" i="11"/>
  <c r="C152" i="11"/>
  <c r="B152" i="11"/>
  <c r="A152" i="11"/>
  <c r="J151" i="11"/>
  <c r="D151" i="11"/>
  <c r="C151" i="11"/>
  <c r="B151" i="11"/>
  <c r="A151" i="11"/>
  <c r="J150" i="11"/>
  <c r="D150" i="11"/>
  <c r="C150" i="11"/>
  <c r="B150" i="11"/>
  <c r="A150" i="11"/>
  <c r="J149" i="11"/>
  <c r="D149" i="11"/>
  <c r="C149" i="11"/>
  <c r="B149" i="11"/>
  <c r="A149" i="11"/>
  <c r="J148" i="11"/>
  <c r="D148" i="11"/>
  <c r="C148" i="11"/>
  <c r="B148" i="11"/>
  <c r="A148" i="11"/>
  <c r="J147" i="11"/>
  <c r="D147" i="11"/>
  <c r="C147" i="11"/>
  <c r="B147" i="11"/>
  <c r="A147" i="11"/>
  <c r="J146" i="11"/>
  <c r="D146" i="11"/>
  <c r="C146" i="11"/>
  <c r="B146" i="11"/>
  <c r="A146" i="11"/>
  <c r="J145" i="11"/>
  <c r="D145" i="11"/>
  <c r="C145" i="11"/>
  <c r="B145" i="11"/>
  <c r="A145" i="11"/>
  <c r="J144" i="11"/>
  <c r="D144" i="11"/>
  <c r="C144" i="11"/>
  <c r="B144" i="11"/>
  <c r="A144" i="11"/>
  <c r="J143" i="11"/>
  <c r="D143" i="11"/>
  <c r="C143" i="11"/>
  <c r="B143" i="11"/>
  <c r="A143" i="11"/>
  <c r="J142" i="11"/>
  <c r="D142" i="11"/>
  <c r="C142" i="11"/>
  <c r="B142" i="11"/>
  <c r="A142" i="11"/>
  <c r="J141" i="11"/>
  <c r="D141" i="11"/>
  <c r="C141" i="11"/>
  <c r="B141" i="11"/>
  <c r="A141" i="11"/>
  <c r="J140" i="11"/>
  <c r="D140" i="11"/>
  <c r="C140" i="11"/>
  <c r="B140" i="11"/>
  <c r="A140" i="11"/>
  <c r="J139" i="11"/>
  <c r="D139" i="11"/>
  <c r="C139" i="11"/>
  <c r="B139" i="11"/>
  <c r="A139" i="11"/>
  <c r="J138" i="11"/>
  <c r="D138" i="11"/>
  <c r="C138" i="11"/>
  <c r="B138" i="11"/>
  <c r="A138" i="11"/>
  <c r="J137" i="11"/>
  <c r="C137" i="11"/>
  <c r="A137" i="11"/>
  <c r="J136" i="11"/>
  <c r="D136" i="11"/>
  <c r="C136" i="11"/>
  <c r="B136" i="11"/>
  <c r="A136" i="11"/>
  <c r="J135" i="11"/>
  <c r="D135" i="11"/>
  <c r="C135" i="11"/>
  <c r="B135" i="11"/>
  <c r="A135" i="11"/>
  <c r="J134" i="11"/>
  <c r="D134" i="11"/>
  <c r="C134" i="11"/>
  <c r="B134" i="11"/>
  <c r="A134" i="11"/>
  <c r="J133" i="11"/>
  <c r="D133" i="11"/>
  <c r="C133" i="11"/>
  <c r="B133" i="11"/>
  <c r="A133" i="11"/>
  <c r="J132" i="11"/>
  <c r="D132" i="11"/>
  <c r="C132" i="11"/>
  <c r="B132" i="11"/>
  <c r="A132" i="11"/>
  <c r="J131" i="11"/>
  <c r="D131" i="11"/>
  <c r="C131" i="11"/>
  <c r="B131" i="11"/>
  <c r="A131" i="11"/>
  <c r="J130" i="11"/>
  <c r="D130" i="11"/>
  <c r="C130" i="11"/>
  <c r="B130" i="11"/>
  <c r="A130" i="11"/>
  <c r="J129" i="11"/>
  <c r="D129" i="11"/>
  <c r="C129" i="11"/>
  <c r="B129" i="11"/>
  <c r="A129" i="11"/>
  <c r="J128" i="11"/>
  <c r="D128" i="11"/>
  <c r="C128" i="11"/>
  <c r="B128" i="11"/>
  <c r="A128" i="11"/>
  <c r="J127" i="11"/>
  <c r="D127" i="11"/>
  <c r="C127" i="11"/>
  <c r="B127" i="11"/>
  <c r="A127" i="11"/>
  <c r="J126" i="11"/>
  <c r="D126" i="11"/>
  <c r="C126" i="11"/>
  <c r="B126" i="11"/>
  <c r="A126" i="11"/>
  <c r="J125" i="11"/>
  <c r="D125" i="11"/>
  <c r="C125" i="11"/>
  <c r="B125" i="11"/>
  <c r="A125" i="11"/>
  <c r="J124" i="11"/>
  <c r="D124" i="11"/>
  <c r="C124" i="11"/>
  <c r="B124" i="11"/>
  <c r="A124" i="11"/>
  <c r="J123" i="11"/>
  <c r="D123" i="11"/>
  <c r="C123" i="11"/>
  <c r="B123" i="11"/>
  <c r="A123" i="11"/>
  <c r="J122" i="11"/>
  <c r="D122" i="11"/>
  <c r="C122" i="11"/>
  <c r="B122" i="11"/>
  <c r="A122" i="11"/>
  <c r="J121" i="11"/>
  <c r="D121" i="11"/>
  <c r="C121" i="11"/>
  <c r="B121" i="11"/>
  <c r="A121" i="11"/>
  <c r="J120" i="11"/>
  <c r="D120" i="11"/>
  <c r="C120" i="11"/>
  <c r="B120" i="11"/>
  <c r="A120" i="11"/>
  <c r="J119" i="11"/>
  <c r="D119" i="11"/>
  <c r="C119" i="11"/>
  <c r="B119" i="11"/>
  <c r="A119" i="11"/>
  <c r="J118" i="11"/>
  <c r="D118" i="11"/>
  <c r="C118" i="11"/>
  <c r="B118" i="11"/>
  <c r="A118" i="11"/>
  <c r="J117" i="11"/>
  <c r="D117" i="11"/>
  <c r="C117" i="11"/>
  <c r="B117" i="11"/>
  <c r="A117" i="11"/>
  <c r="J116" i="11"/>
  <c r="D116" i="11"/>
  <c r="C116" i="11"/>
  <c r="B116" i="11"/>
  <c r="A116" i="11"/>
  <c r="J115" i="11"/>
  <c r="D115" i="11"/>
  <c r="C115" i="11"/>
  <c r="B115" i="11"/>
  <c r="A115" i="11"/>
  <c r="J114" i="11"/>
  <c r="D114" i="11"/>
  <c r="C114" i="11"/>
  <c r="B114" i="11"/>
  <c r="A114" i="11"/>
  <c r="J113" i="11"/>
  <c r="D113" i="11"/>
  <c r="C113" i="11"/>
  <c r="B113" i="11"/>
  <c r="A113" i="11"/>
  <c r="J112" i="11"/>
  <c r="D112" i="11"/>
  <c r="C112" i="11"/>
  <c r="B112" i="11"/>
  <c r="A112" i="11"/>
  <c r="J111" i="11"/>
  <c r="D111" i="11"/>
  <c r="C111" i="11"/>
  <c r="B111" i="11"/>
  <c r="A111" i="11"/>
  <c r="J110" i="11"/>
  <c r="D110" i="11"/>
  <c r="C110" i="11"/>
  <c r="B110" i="11"/>
  <c r="A110" i="11"/>
  <c r="J109" i="11"/>
  <c r="D109" i="11"/>
  <c r="C109" i="11"/>
  <c r="B109" i="11"/>
  <c r="A109" i="11"/>
  <c r="J108" i="11"/>
  <c r="D108" i="11"/>
  <c r="C108" i="11"/>
  <c r="B108" i="11"/>
  <c r="A108" i="11"/>
  <c r="J107" i="11"/>
  <c r="D107" i="11"/>
  <c r="C107" i="11"/>
  <c r="B107" i="11"/>
  <c r="A107" i="11"/>
  <c r="J106" i="11"/>
  <c r="D106" i="11"/>
  <c r="C106" i="11"/>
  <c r="B106" i="11"/>
  <c r="A106" i="11"/>
  <c r="J105" i="11"/>
  <c r="D105" i="11"/>
  <c r="C105" i="11"/>
  <c r="B105" i="11"/>
  <c r="A105" i="11"/>
  <c r="J104" i="11"/>
  <c r="D104" i="11"/>
  <c r="C104" i="11"/>
  <c r="B104" i="11"/>
  <c r="A104" i="11"/>
  <c r="J103" i="11"/>
  <c r="D103" i="11"/>
  <c r="C103" i="11"/>
  <c r="B103" i="11"/>
  <c r="A103" i="11"/>
  <c r="J102" i="11"/>
  <c r="D102" i="11"/>
  <c r="C102" i="11"/>
  <c r="B102" i="11"/>
  <c r="A102" i="11"/>
  <c r="J101" i="11"/>
  <c r="D101" i="11"/>
  <c r="C101" i="11"/>
  <c r="B101" i="11"/>
  <c r="A101" i="11"/>
  <c r="J100" i="11"/>
  <c r="D100" i="11"/>
  <c r="C100" i="11"/>
  <c r="B100" i="11"/>
  <c r="A100" i="11"/>
  <c r="J99" i="11"/>
  <c r="D99" i="11"/>
  <c r="C99" i="11"/>
  <c r="B99" i="11"/>
  <c r="A99" i="11"/>
  <c r="J98" i="11"/>
  <c r="D98" i="11"/>
  <c r="C98" i="11"/>
  <c r="B98" i="11"/>
  <c r="A98" i="11"/>
  <c r="J97" i="11"/>
  <c r="D97" i="11"/>
  <c r="C97" i="11"/>
  <c r="B97" i="11"/>
  <c r="A97" i="11"/>
  <c r="J96" i="11"/>
  <c r="D96" i="11"/>
  <c r="C96" i="11"/>
  <c r="B96" i="11"/>
  <c r="A96" i="11"/>
  <c r="J95" i="11"/>
  <c r="D95" i="11"/>
  <c r="C95" i="11"/>
  <c r="B95" i="11"/>
  <c r="A95" i="11"/>
  <c r="J94" i="11"/>
  <c r="D94" i="11"/>
  <c r="C94" i="11"/>
  <c r="B94" i="11"/>
  <c r="A94" i="11"/>
  <c r="J93" i="11"/>
  <c r="D93" i="11"/>
  <c r="C93" i="11"/>
  <c r="B93" i="11"/>
  <c r="A93" i="11"/>
  <c r="J92" i="11"/>
  <c r="D92" i="11"/>
  <c r="C92" i="11"/>
  <c r="B92" i="11"/>
  <c r="A92" i="11"/>
  <c r="J91" i="11"/>
  <c r="D91" i="11"/>
  <c r="C91" i="11"/>
  <c r="B91" i="11"/>
  <c r="A91" i="11"/>
  <c r="J90" i="11"/>
  <c r="D90" i="11"/>
  <c r="C90" i="11"/>
  <c r="B90" i="11"/>
  <c r="A90" i="11"/>
  <c r="J89" i="11"/>
  <c r="D89" i="11"/>
  <c r="C89" i="11"/>
  <c r="B89" i="11"/>
  <c r="A89" i="11"/>
  <c r="J88" i="11"/>
  <c r="D88" i="11"/>
  <c r="C88" i="11"/>
  <c r="B88" i="11"/>
  <c r="A88" i="11"/>
  <c r="J87" i="11"/>
  <c r="D87" i="11"/>
  <c r="C87" i="11"/>
  <c r="B87" i="11"/>
  <c r="A87" i="11"/>
  <c r="J86" i="11"/>
  <c r="D86" i="11"/>
  <c r="C86" i="11"/>
  <c r="B86" i="11"/>
  <c r="A86" i="11"/>
  <c r="J85" i="11"/>
  <c r="D85" i="11"/>
  <c r="C85" i="11"/>
  <c r="B85" i="11"/>
  <c r="A85" i="11"/>
  <c r="J84" i="11"/>
  <c r="D84" i="11"/>
  <c r="C84" i="11"/>
  <c r="B84" i="11"/>
  <c r="A84" i="11"/>
  <c r="J83" i="11"/>
  <c r="D83" i="11"/>
  <c r="C83" i="11"/>
  <c r="B83" i="11"/>
  <c r="A83" i="11"/>
  <c r="J82" i="11"/>
  <c r="D82" i="11"/>
  <c r="C82" i="11"/>
  <c r="B82" i="11"/>
  <c r="A82" i="11"/>
  <c r="J81" i="11"/>
  <c r="D81" i="11"/>
  <c r="C81" i="11"/>
  <c r="B81" i="11"/>
  <c r="A81" i="11"/>
  <c r="J80" i="11"/>
  <c r="D80" i="11"/>
  <c r="C80" i="11"/>
  <c r="B80" i="11"/>
  <c r="A80" i="11"/>
  <c r="J79" i="11"/>
  <c r="D79" i="11"/>
  <c r="C79" i="11"/>
  <c r="B79" i="11"/>
  <c r="A79" i="11"/>
  <c r="J78" i="11"/>
  <c r="D78" i="11"/>
  <c r="C78" i="11"/>
  <c r="B78" i="11"/>
  <c r="A78" i="11"/>
  <c r="J77" i="11"/>
  <c r="D77" i="11"/>
  <c r="C77" i="11"/>
  <c r="B77" i="11"/>
  <c r="A77" i="11"/>
  <c r="J76" i="11"/>
  <c r="D76" i="11"/>
  <c r="C76" i="11"/>
  <c r="B76" i="11"/>
  <c r="A76" i="11"/>
  <c r="J75" i="11"/>
  <c r="D75" i="11"/>
  <c r="C75" i="11"/>
  <c r="B75" i="11"/>
  <c r="A75" i="11"/>
  <c r="J74" i="11"/>
  <c r="D74" i="11"/>
  <c r="C74" i="11"/>
  <c r="B74" i="11"/>
  <c r="A74" i="11"/>
  <c r="J73" i="11"/>
  <c r="D73" i="11"/>
  <c r="C73" i="11"/>
  <c r="B73" i="11"/>
  <c r="A73" i="11"/>
  <c r="J72" i="11"/>
  <c r="D72" i="11"/>
  <c r="C72" i="11"/>
  <c r="B72" i="11"/>
  <c r="A72" i="11"/>
  <c r="J71" i="11"/>
  <c r="D71" i="11"/>
  <c r="C71" i="11"/>
  <c r="B71" i="11"/>
  <c r="A71" i="11"/>
  <c r="J70" i="11"/>
  <c r="D70" i="11"/>
  <c r="C70" i="11"/>
  <c r="B70" i="11"/>
  <c r="A70" i="11"/>
  <c r="J69" i="11"/>
  <c r="D69" i="11"/>
  <c r="C69" i="11"/>
  <c r="B69" i="11"/>
  <c r="A69" i="11"/>
  <c r="J68" i="11"/>
  <c r="D68" i="11"/>
  <c r="C68" i="11"/>
  <c r="B68" i="11"/>
  <c r="A68" i="11"/>
  <c r="J67" i="11"/>
  <c r="D67" i="11"/>
  <c r="C67" i="11"/>
  <c r="B67" i="11"/>
  <c r="A67" i="11"/>
  <c r="J66" i="11"/>
  <c r="D66" i="11"/>
  <c r="C66" i="11"/>
  <c r="B66" i="11"/>
  <c r="A66" i="11"/>
  <c r="J65" i="11"/>
  <c r="D65" i="11"/>
  <c r="C65" i="11"/>
  <c r="B65" i="11"/>
  <c r="A65" i="11"/>
  <c r="J64" i="11"/>
  <c r="D64" i="11"/>
  <c r="C64" i="11"/>
  <c r="B64" i="11"/>
  <c r="A64" i="11"/>
  <c r="J63" i="11"/>
  <c r="D63" i="11"/>
  <c r="C63" i="11"/>
  <c r="B63" i="11"/>
  <c r="A63" i="11"/>
  <c r="J62" i="11"/>
  <c r="D62" i="11"/>
  <c r="C62" i="11"/>
  <c r="B62" i="11"/>
  <c r="A62" i="11"/>
  <c r="J61" i="11"/>
  <c r="D61" i="11"/>
  <c r="C61" i="11"/>
  <c r="B61" i="11"/>
  <c r="A61" i="11"/>
  <c r="J60" i="11"/>
  <c r="D60" i="11"/>
  <c r="C60" i="11"/>
  <c r="B60" i="11"/>
  <c r="A60" i="11"/>
  <c r="J59" i="11"/>
  <c r="D59" i="11"/>
  <c r="C59" i="11"/>
  <c r="B59" i="11"/>
  <c r="A59" i="11"/>
  <c r="J58" i="11"/>
  <c r="D58" i="11"/>
  <c r="C58" i="11"/>
  <c r="B58" i="11"/>
  <c r="A58" i="11"/>
  <c r="J57" i="11"/>
  <c r="D57" i="11"/>
  <c r="C57" i="11"/>
  <c r="B57" i="11"/>
  <c r="A57" i="11"/>
  <c r="J56" i="11"/>
  <c r="D56" i="11"/>
  <c r="C56" i="11"/>
  <c r="B56" i="11"/>
  <c r="A56" i="11"/>
  <c r="J55" i="11"/>
  <c r="D55" i="11"/>
  <c r="C55" i="11"/>
  <c r="B55" i="11"/>
  <c r="A55" i="11"/>
  <c r="J54" i="11"/>
  <c r="D54" i="11"/>
  <c r="C54" i="11"/>
  <c r="B54" i="11"/>
  <c r="A54" i="11"/>
  <c r="J53" i="11"/>
  <c r="D53" i="11"/>
  <c r="C53" i="11"/>
  <c r="B53" i="11"/>
  <c r="A53" i="11"/>
  <c r="J52" i="11"/>
  <c r="D52" i="11"/>
  <c r="C52" i="11"/>
  <c r="B52" i="11"/>
  <c r="A52" i="11"/>
  <c r="J51" i="11"/>
  <c r="D51" i="11"/>
  <c r="C51" i="11"/>
  <c r="B51" i="11"/>
  <c r="A51" i="11"/>
  <c r="J50" i="11"/>
  <c r="D50" i="11"/>
  <c r="C50" i="11"/>
  <c r="B50" i="11"/>
  <c r="A50" i="11"/>
  <c r="J49" i="11"/>
  <c r="D49" i="11"/>
  <c r="C49" i="11"/>
  <c r="B49" i="11"/>
  <c r="A49" i="11"/>
  <c r="J48" i="11"/>
  <c r="D48" i="11"/>
  <c r="C48" i="11"/>
  <c r="B48" i="11"/>
  <c r="A48" i="11"/>
  <c r="J47" i="11"/>
  <c r="D47" i="11"/>
  <c r="C47" i="11"/>
  <c r="B47" i="11"/>
  <c r="A47" i="11"/>
  <c r="J46" i="11"/>
  <c r="D46" i="11"/>
  <c r="C46" i="11"/>
  <c r="B46" i="11"/>
  <c r="A46" i="11"/>
  <c r="J45" i="11"/>
  <c r="D45" i="11"/>
  <c r="C45" i="11"/>
  <c r="B45" i="11"/>
  <c r="A45" i="11"/>
  <c r="J44" i="11"/>
  <c r="D44" i="11"/>
  <c r="C44" i="11"/>
  <c r="B44" i="11"/>
  <c r="A44" i="11"/>
  <c r="F42" i="11"/>
  <c r="C41" i="11"/>
  <c r="F40" i="11"/>
  <c r="C40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40" i="11" s="1"/>
  <c r="D236" i="10"/>
  <c r="C236" i="10"/>
  <c r="B236" i="10"/>
  <c r="A236" i="10"/>
  <c r="D235" i="10"/>
  <c r="C235" i="10"/>
  <c r="B235" i="10"/>
  <c r="A235" i="10"/>
  <c r="D234" i="10"/>
  <c r="C234" i="10"/>
  <c r="B234" i="10"/>
  <c r="A234" i="10"/>
  <c r="D233" i="10"/>
  <c r="C233" i="10"/>
  <c r="B233" i="10"/>
  <c r="A233" i="10"/>
  <c r="D232" i="10"/>
  <c r="C232" i="10"/>
  <c r="B232" i="10"/>
  <c r="A232" i="10"/>
  <c r="D231" i="10"/>
  <c r="C231" i="10"/>
  <c r="B231" i="10"/>
  <c r="A231" i="10"/>
  <c r="D230" i="10"/>
  <c r="C230" i="10"/>
  <c r="B230" i="10"/>
  <c r="A230" i="10"/>
  <c r="D229" i="10"/>
  <c r="C229" i="10"/>
  <c r="B229" i="10"/>
  <c r="A229" i="10"/>
  <c r="D228" i="10"/>
  <c r="C228" i="10"/>
  <c r="B228" i="10"/>
  <c r="A228" i="10"/>
  <c r="D227" i="10"/>
  <c r="C227" i="10"/>
  <c r="B227" i="10"/>
  <c r="A227" i="10"/>
  <c r="D226" i="10"/>
  <c r="C226" i="10"/>
  <c r="B226" i="10"/>
  <c r="A226" i="10"/>
  <c r="D225" i="10"/>
  <c r="C225" i="10"/>
  <c r="B225" i="10"/>
  <c r="A225" i="10"/>
  <c r="D224" i="10"/>
  <c r="C224" i="10"/>
  <c r="B224" i="10"/>
  <c r="A224" i="10"/>
  <c r="D223" i="10"/>
  <c r="C223" i="10"/>
  <c r="B223" i="10"/>
  <c r="A223" i="10"/>
  <c r="D222" i="10"/>
  <c r="C222" i="10"/>
  <c r="B222" i="10"/>
  <c r="A222" i="10"/>
  <c r="D221" i="10"/>
  <c r="C221" i="10"/>
  <c r="B221" i="10"/>
  <c r="A221" i="10"/>
  <c r="D220" i="10"/>
  <c r="C220" i="10"/>
  <c r="B220" i="10"/>
  <c r="A220" i="10"/>
  <c r="D219" i="10"/>
  <c r="C219" i="10"/>
  <c r="B219" i="10"/>
  <c r="A219" i="10"/>
  <c r="D218" i="10"/>
  <c r="C218" i="10"/>
  <c r="B218" i="10"/>
  <c r="A218" i="10"/>
  <c r="D217" i="10"/>
  <c r="C217" i="10"/>
  <c r="B217" i="10"/>
  <c r="A217" i="10"/>
  <c r="D216" i="10"/>
  <c r="C216" i="10"/>
  <c r="B216" i="10"/>
  <c r="A216" i="10"/>
  <c r="D215" i="10"/>
  <c r="C215" i="10"/>
  <c r="B215" i="10"/>
  <c r="A215" i="10"/>
  <c r="D214" i="10"/>
  <c r="C214" i="10"/>
  <c r="B214" i="10"/>
  <c r="A214" i="10"/>
  <c r="J213" i="10"/>
  <c r="D213" i="10"/>
  <c r="C213" i="10"/>
  <c r="B213" i="10"/>
  <c r="A213" i="10"/>
  <c r="J212" i="10"/>
  <c r="D212" i="10"/>
  <c r="C212" i="10"/>
  <c r="B212" i="10"/>
  <c r="A212" i="10"/>
  <c r="J211" i="10"/>
  <c r="D211" i="10"/>
  <c r="C211" i="10"/>
  <c r="B211" i="10"/>
  <c r="A211" i="10"/>
  <c r="J210" i="10"/>
  <c r="D210" i="10"/>
  <c r="C210" i="10"/>
  <c r="B210" i="10"/>
  <c r="A210" i="10"/>
  <c r="J209" i="10"/>
  <c r="D209" i="10"/>
  <c r="C209" i="10"/>
  <c r="B209" i="10"/>
  <c r="A209" i="10"/>
  <c r="J208" i="10"/>
  <c r="D208" i="10"/>
  <c r="C208" i="10"/>
  <c r="B208" i="10"/>
  <c r="A208" i="10"/>
  <c r="J207" i="10"/>
  <c r="D207" i="10"/>
  <c r="C207" i="10"/>
  <c r="B207" i="10"/>
  <c r="A207" i="10"/>
  <c r="J206" i="10"/>
  <c r="D206" i="10"/>
  <c r="C206" i="10"/>
  <c r="B206" i="10"/>
  <c r="A206" i="10"/>
  <c r="J205" i="10"/>
  <c r="D205" i="10"/>
  <c r="C205" i="10"/>
  <c r="B205" i="10"/>
  <c r="A205" i="10"/>
  <c r="J204" i="10"/>
  <c r="D204" i="10"/>
  <c r="C204" i="10"/>
  <c r="B204" i="10"/>
  <c r="A204" i="10"/>
  <c r="J203" i="10"/>
  <c r="D203" i="10"/>
  <c r="C203" i="10"/>
  <c r="B203" i="10"/>
  <c r="A203" i="10"/>
  <c r="J202" i="10"/>
  <c r="D202" i="10"/>
  <c r="C202" i="10"/>
  <c r="B202" i="10"/>
  <c r="A202" i="10"/>
  <c r="J201" i="10"/>
  <c r="D201" i="10"/>
  <c r="C201" i="10"/>
  <c r="B201" i="10"/>
  <c r="A201" i="10"/>
  <c r="J200" i="10"/>
  <c r="D200" i="10"/>
  <c r="C200" i="10"/>
  <c r="B200" i="10"/>
  <c r="A200" i="10"/>
  <c r="J199" i="10"/>
  <c r="D199" i="10"/>
  <c r="C199" i="10"/>
  <c r="B199" i="10"/>
  <c r="A199" i="10"/>
  <c r="J198" i="10"/>
  <c r="D198" i="10"/>
  <c r="C198" i="10"/>
  <c r="B198" i="10"/>
  <c r="A198" i="10"/>
  <c r="J197" i="10"/>
  <c r="D197" i="10"/>
  <c r="C197" i="10"/>
  <c r="B197" i="10"/>
  <c r="A197" i="10"/>
  <c r="J196" i="10"/>
  <c r="D196" i="10"/>
  <c r="C196" i="10"/>
  <c r="B196" i="10"/>
  <c r="A196" i="10"/>
  <c r="J195" i="10"/>
  <c r="D195" i="10"/>
  <c r="C195" i="10"/>
  <c r="B195" i="10"/>
  <c r="A195" i="10"/>
  <c r="J194" i="10"/>
  <c r="D194" i="10"/>
  <c r="C194" i="10"/>
  <c r="B194" i="10"/>
  <c r="A194" i="10"/>
  <c r="J193" i="10"/>
  <c r="D193" i="10"/>
  <c r="C193" i="10"/>
  <c r="B193" i="10"/>
  <c r="A193" i="10"/>
  <c r="J192" i="10"/>
  <c r="D192" i="10"/>
  <c r="C192" i="10"/>
  <c r="B192" i="10"/>
  <c r="A192" i="10"/>
  <c r="J191" i="10"/>
  <c r="D191" i="10"/>
  <c r="C191" i="10"/>
  <c r="B191" i="10"/>
  <c r="A191" i="10"/>
  <c r="J190" i="10"/>
  <c r="D190" i="10"/>
  <c r="C190" i="10"/>
  <c r="B190" i="10"/>
  <c r="A190" i="10"/>
  <c r="J189" i="10"/>
  <c r="D189" i="10"/>
  <c r="C189" i="10"/>
  <c r="B189" i="10"/>
  <c r="A189" i="10"/>
  <c r="J188" i="10"/>
  <c r="D188" i="10"/>
  <c r="C188" i="10"/>
  <c r="B188" i="10"/>
  <c r="A188" i="10"/>
  <c r="J187" i="10"/>
  <c r="D187" i="10"/>
  <c r="C187" i="10"/>
  <c r="B187" i="10"/>
  <c r="A187" i="10"/>
  <c r="J186" i="10"/>
  <c r="D186" i="10"/>
  <c r="C186" i="10"/>
  <c r="B186" i="10"/>
  <c r="A186" i="10"/>
  <c r="J185" i="10"/>
  <c r="D185" i="10"/>
  <c r="C185" i="10"/>
  <c r="B185" i="10"/>
  <c r="A185" i="10"/>
  <c r="J184" i="10"/>
  <c r="D184" i="10"/>
  <c r="C184" i="10"/>
  <c r="B184" i="10"/>
  <c r="A184" i="10"/>
  <c r="J183" i="10"/>
  <c r="D183" i="10"/>
  <c r="C183" i="10"/>
  <c r="B183" i="10"/>
  <c r="A183" i="10"/>
  <c r="J182" i="10"/>
  <c r="D182" i="10"/>
  <c r="C182" i="10"/>
  <c r="B182" i="10"/>
  <c r="A182" i="10"/>
  <c r="J181" i="10"/>
  <c r="D181" i="10"/>
  <c r="C181" i="10"/>
  <c r="B181" i="10"/>
  <c r="A181" i="10"/>
  <c r="J180" i="10"/>
  <c r="D180" i="10"/>
  <c r="C180" i="10"/>
  <c r="B180" i="10"/>
  <c r="A180" i="10"/>
  <c r="J179" i="10"/>
  <c r="D179" i="10"/>
  <c r="C179" i="10"/>
  <c r="B179" i="10"/>
  <c r="A179" i="10"/>
  <c r="J178" i="10"/>
  <c r="D178" i="10"/>
  <c r="C178" i="10"/>
  <c r="B178" i="10"/>
  <c r="A178" i="10"/>
  <c r="J177" i="10"/>
  <c r="D177" i="10"/>
  <c r="C177" i="10"/>
  <c r="B177" i="10"/>
  <c r="A177" i="10"/>
  <c r="J176" i="10"/>
  <c r="D176" i="10"/>
  <c r="C176" i="10"/>
  <c r="B176" i="10"/>
  <c r="A176" i="10"/>
  <c r="J175" i="10"/>
  <c r="D175" i="10"/>
  <c r="C175" i="10"/>
  <c r="B175" i="10"/>
  <c r="A175" i="10"/>
  <c r="J174" i="10"/>
  <c r="D174" i="10"/>
  <c r="C174" i="10"/>
  <c r="B174" i="10"/>
  <c r="A174" i="10"/>
  <c r="J173" i="10"/>
  <c r="D173" i="10"/>
  <c r="C173" i="10"/>
  <c r="B173" i="10"/>
  <c r="A173" i="10"/>
  <c r="J172" i="10"/>
  <c r="D172" i="10"/>
  <c r="C172" i="10"/>
  <c r="B172" i="10"/>
  <c r="A172" i="10"/>
  <c r="J171" i="10"/>
  <c r="D171" i="10"/>
  <c r="C171" i="10"/>
  <c r="B171" i="10"/>
  <c r="A171" i="10"/>
  <c r="J170" i="10"/>
  <c r="D170" i="10"/>
  <c r="C170" i="10"/>
  <c r="B170" i="10"/>
  <c r="A170" i="10"/>
  <c r="J169" i="10"/>
  <c r="D169" i="10"/>
  <c r="C169" i="10"/>
  <c r="B169" i="10"/>
  <c r="A169" i="10"/>
  <c r="J168" i="10"/>
  <c r="D168" i="10"/>
  <c r="C168" i="10"/>
  <c r="B168" i="10"/>
  <c r="A168" i="10"/>
  <c r="J167" i="10"/>
  <c r="D167" i="10"/>
  <c r="C167" i="10"/>
  <c r="B167" i="10"/>
  <c r="A167" i="10"/>
  <c r="J166" i="10"/>
  <c r="D166" i="10"/>
  <c r="C166" i="10"/>
  <c r="B166" i="10"/>
  <c r="A166" i="10"/>
  <c r="J165" i="10"/>
  <c r="D165" i="10"/>
  <c r="C165" i="10"/>
  <c r="B165" i="10"/>
  <c r="A165" i="10"/>
  <c r="J164" i="10"/>
  <c r="D164" i="10"/>
  <c r="C164" i="10"/>
  <c r="B164" i="10"/>
  <c r="A164" i="10"/>
  <c r="J163" i="10"/>
  <c r="D163" i="10"/>
  <c r="C163" i="10"/>
  <c r="B163" i="10"/>
  <c r="A163" i="10"/>
  <c r="J162" i="10"/>
  <c r="D162" i="10"/>
  <c r="C162" i="10"/>
  <c r="B162" i="10"/>
  <c r="A162" i="10"/>
  <c r="J161" i="10"/>
  <c r="D161" i="10"/>
  <c r="C161" i="10"/>
  <c r="B161" i="10"/>
  <c r="A161" i="10"/>
  <c r="J160" i="10"/>
  <c r="D160" i="10"/>
  <c r="C160" i="10"/>
  <c r="B160" i="10"/>
  <c r="A160" i="10"/>
  <c r="J159" i="10"/>
  <c r="D159" i="10"/>
  <c r="C159" i="10"/>
  <c r="B159" i="10"/>
  <c r="A159" i="10"/>
  <c r="J158" i="10"/>
  <c r="D158" i="10"/>
  <c r="C158" i="10"/>
  <c r="B158" i="10"/>
  <c r="A158" i="10"/>
  <c r="J157" i="10"/>
  <c r="D157" i="10"/>
  <c r="C157" i="10"/>
  <c r="B157" i="10"/>
  <c r="A157" i="10"/>
  <c r="J156" i="10"/>
  <c r="D156" i="10"/>
  <c r="C156" i="10"/>
  <c r="B156" i="10"/>
  <c r="A156" i="10"/>
  <c r="J155" i="10"/>
  <c r="D155" i="10"/>
  <c r="C155" i="10"/>
  <c r="B155" i="10"/>
  <c r="A155" i="10"/>
  <c r="J154" i="10"/>
  <c r="D154" i="10"/>
  <c r="C154" i="10"/>
  <c r="B154" i="10"/>
  <c r="A154" i="10"/>
  <c r="J153" i="10"/>
  <c r="D153" i="10"/>
  <c r="C153" i="10"/>
  <c r="B153" i="10"/>
  <c r="A153" i="10"/>
  <c r="J152" i="10"/>
  <c r="D152" i="10"/>
  <c r="C152" i="10"/>
  <c r="B152" i="10"/>
  <c r="A152" i="10"/>
  <c r="J151" i="10"/>
  <c r="D151" i="10"/>
  <c r="C151" i="10"/>
  <c r="B151" i="10"/>
  <c r="A151" i="10"/>
  <c r="J150" i="10"/>
  <c r="D150" i="10"/>
  <c r="C150" i="10"/>
  <c r="B150" i="10"/>
  <c r="A150" i="10"/>
  <c r="J149" i="10"/>
  <c r="D149" i="10"/>
  <c r="C149" i="10"/>
  <c r="B149" i="10"/>
  <c r="A149" i="10"/>
  <c r="J148" i="10"/>
  <c r="D148" i="10"/>
  <c r="C148" i="10"/>
  <c r="B148" i="10"/>
  <c r="A148" i="10"/>
  <c r="J147" i="10"/>
  <c r="D147" i="10"/>
  <c r="C147" i="10"/>
  <c r="B147" i="10"/>
  <c r="A147" i="10"/>
  <c r="J146" i="10"/>
  <c r="D146" i="10"/>
  <c r="C146" i="10"/>
  <c r="B146" i="10"/>
  <c r="A146" i="10"/>
  <c r="J145" i="10"/>
  <c r="D145" i="10"/>
  <c r="C145" i="10"/>
  <c r="B145" i="10"/>
  <c r="A145" i="10"/>
  <c r="J144" i="10"/>
  <c r="D144" i="10"/>
  <c r="C144" i="10"/>
  <c r="B144" i="10"/>
  <c r="A144" i="10"/>
  <c r="J143" i="10"/>
  <c r="D143" i="10"/>
  <c r="C143" i="10"/>
  <c r="B143" i="10"/>
  <c r="A143" i="10"/>
  <c r="J142" i="10"/>
  <c r="D142" i="10"/>
  <c r="C142" i="10"/>
  <c r="B142" i="10"/>
  <c r="A142" i="10"/>
  <c r="J141" i="10"/>
  <c r="D141" i="10"/>
  <c r="C141" i="10"/>
  <c r="B141" i="10"/>
  <c r="A141" i="10"/>
  <c r="J140" i="10"/>
  <c r="D140" i="10"/>
  <c r="C140" i="10"/>
  <c r="B140" i="10"/>
  <c r="A140" i="10"/>
  <c r="J139" i="10"/>
  <c r="D139" i="10"/>
  <c r="C139" i="10"/>
  <c r="B139" i="10"/>
  <c r="A139" i="10"/>
  <c r="J138" i="10"/>
  <c r="D138" i="10"/>
  <c r="C138" i="10"/>
  <c r="B138" i="10"/>
  <c r="A138" i="10"/>
  <c r="J137" i="10"/>
  <c r="D137" i="10"/>
  <c r="C137" i="10"/>
  <c r="B137" i="10"/>
  <c r="A137" i="10"/>
  <c r="J136" i="10"/>
  <c r="D136" i="10"/>
  <c r="C136" i="10"/>
  <c r="B136" i="10"/>
  <c r="A136" i="10"/>
  <c r="J135" i="10"/>
  <c r="D135" i="10"/>
  <c r="C135" i="10"/>
  <c r="B135" i="10"/>
  <c r="A135" i="10"/>
  <c r="J134" i="10"/>
  <c r="D134" i="10"/>
  <c r="C134" i="10"/>
  <c r="B134" i="10"/>
  <c r="A134" i="10"/>
  <c r="J133" i="10"/>
  <c r="D133" i="10"/>
  <c r="C133" i="10"/>
  <c r="B133" i="10"/>
  <c r="A133" i="10"/>
  <c r="J132" i="10"/>
  <c r="D132" i="10"/>
  <c r="C132" i="10"/>
  <c r="B132" i="10"/>
  <c r="A132" i="10"/>
  <c r="J131" i="10"/>
  <c r="D131" i="10"/>
  <c r="C131" i="10"/>
  <c r="B131" i="10"/>
  <c r="A131" i="10"/>
  <c r="J130" i="10"/>
  <c r="C130" i="10"/>
  <c r="A130" i="10"/>
  <c r="J129" i="10"/>
  <c r="D129" i="10"/>
  <c r="C129" i="10"/>
  <c r="B129" i="10"/>
  <c r="A129" i="10"/>
  <c r="J128" i="10"/>
  <c r="D128" i="10"/>
  <c r="C128" i="10"/>
  <c r="B128" i="10"/>
  <c r="A128" i="10"/>
  <c r="J127" i="10"/>
  <c r="D127" i="10"/>
  <c r="C127" i="10"/>
  <c r="B127" i="10"/>
  <c r="A127" i="10"/>
  <c r="J126" i="10"/>
  <c r="D126" i="10"/>
  <c r="C126" i="10"/>
  <c r="B126" i="10"/>
  <c r="A126" i="10"/>
  <c r="J125" i="10"/>
  <c r="D125" i="10"/>
  <c r="C125" i="10"/>
  <c r="B125" i="10"/>
  <c r="A125" i="10"/>
  <c r="J124" i="10"/>
  <c r="D124" i="10"/>
  <c r="C124" i="10"/>
  <c r="B124" i="10"/>
  <c r="A124" i="10"/>
  <c r="J123" i="10"/>
  <c r="D123" i="10"/>
  <c r="C123" i="10"/>
  <c r="B123" i="10"/>
  <c r="A123" i="10"/>
  <c r="J122" i="10"/>
  <c r="D122" i="10"/>
  <c r="C122" i="10"/>
  <c r="B122" i="10"/>
  <c r="A122" i="10"/>
  <c r="J121" i="10"/>
  <c r="D121" i="10"/>
  <c r="C121" i="10"/>
  <c r="B121" i="10"/>
  <c r="A121" i="10"/>
  <c r="J120" i="10"/>
  <c r="D120" i="10"/>
  <c r="C120" i="10"/>
  <c r="B120" i="10"/>
  <c r="A120" i="10"/>
  <c r="J119" i="10"/>
  <c r="D119" i="10"/>
  <c r="C119" i="10"/>
  <c r="B119" i="10"/>
  <c r="A119" i="10"/>
  <c r="J118" i="10"/>
  <c r="D118" i="10"/>
  <c r="C118" i="10"/>
  <c r="B118" i="10"/>
  <c r="A118" i="10"/>
  <c r="J117" i="10"/>
  <c r="D117" i="10"/>
  <c r="C117" i="10"/>
  <c r="B117" i="10"/>
  <c r="A117" i="10"/>
  <c r="J116" i="10"/>
  <c r="D116" i="10"/>
  <c r="C116" i="10"/>
  <c r="B116" i="10"/>
  <c r="A116" i="10"/>
  <c r="J115" i="10"/>
  <c r="D115" i="10"/>
  <c r="C115" i="10"/>
  <c r="B115" i="10"/>
  <c r="A115" i="10"/>
  <c r="J114" i="10"/>
  <c r="D114" i="10"/>
  <c r="C114" i="10"/>
  <c r="B114" i="10"/>
  <c r="A114" i="10"/>
  <c r="J113" i="10"/>
  <c r="D113" i="10"/>
  <c r="C113" i="10"/>
  <c r="B113" i="10"/>
  <c r="A113" i="10"/>
  <c r="J112" i="10"/>
  <c r="D112" i="10"/>
  <c r="C112" i="10"/>
  <c r="B112" i="10"/>
  <c r="A112" i="10"/>
  <c r="J111" i="10"/>
  <c r="D111" i="10"/>
  <c r="C111" i="10"/>
  <c r="B111" i="10"/>
  <c r="A111" i="10"/>
  <c r="J110" i="10"/>
  <c r="D110" i="10"/>
  <c r="C110" i="10"/>
  <c r="B110" i="10"/>
  <c r="A110" i="10"/>
  <c r="J109" i="10"/>
  <c r="D109" i="10"/>
  <c r="C109" i="10"/>
  <c r="B109" i="10"/>
  <c r="A109" i="10"/>
  <c r="J108" i="10"/>
  <c r="D108" i="10"/>
  <c r="C108" i="10"/>
  <c r="B108" i="10"/>
  <c r="A108" i="10"/>
  <c r="J107" i="10"/>
  <c r="D107" i="10"/>
  <c r="C107" i="10"/>
  <c r="B107" i="10"/>
  <c r="A107" i="10"/>
  <c r="J106" i="10"/>
  <c r="D106" i="10"/>
  <c r="C106" i="10"/>
  <c r="B106" i="10"/>
  <c r="A106" i="10"/>
  <c r="J105" i="10"/>
  <c r="D105" i="10"/>
  <c r="C105" i="10"/>
  <c r="B105" i="10"/>
  <c r="A105" i="10"/>
  <c r="J104" i="10"/>
  <c r="D104" i="10"/>
  <c r="C104" i="10"/>
  <c r="B104" i="10"/>
  <c r="A104" i="10"/>
  <c r="J103" i="10"/>
  <c r="D103" i="10"/>
  <c r="C103" i="10"/>
  <c r="B103" i="10"/>
  <c r="A103" i="10"/>
  <c r="J102" i="10"/>
  <c r="D102" i="10"/>
  <c r="C102" i="10"/>
  <c r="B102" i="10"/>
  <c r="A102" i="10"/>
  <c r="J101" i="10"/>
  <c r="D101" i="10"/>
  <c r="C101" i="10"/>
  <c r="B101" i="10"/>
  <c r="A101" i="10"/>
  <c r="J100" i="10"/>
  <c r="D100" i="10"/>
  <c r="C100" i="10"/>
  <c r="B100" i="10"/>
  <c r="A100" i="10"/>
  <c r="J99" i="10"/>
  <c r="D99" i="10"/>
  <c r="C99" i="10"/>
  <c r="B99" i="10"/>
  <c r="A99" i="10"/>
  <c r="J98" i="10"/>
  <c r="D98" i="10"/>
  <c r="C98" i="10"/>
  <c r="B98" i="10"/>
  <c r="A98" i="10"/>
  <c r="J97" i="10"/>
  <c r="D97" i="10"/>
  <c r="C97" i="10"/>
  <c r="B97" i="10"/>
  <c r="A97" i="10"/>
  <c r="J96" i="10"/>
  <c r="D96" i="10"/>
  <c r="C96" i="10"/>
  <c r="B96" i="10"/>
  <c r="A96" i="10"/>
  <c r="J95" i="10"/>
  <c r="D95" i="10"/>
  <c r="C95" i="10"/>
  <c r="B95" i="10"/>
  <c r="A95" i="10"/>
  <c r="J94" i="10"/>
  <c r="D94" i="10"/>
  <c r="C94" i="10"/>
  <c r="B94" i="10"/>
  <c r="A94" i="10"/>
  <c r="J93" i="10"/>
  <c r="D93" i="10"/>
  <c r="C93" i="10"/>
  <c r="B93" i="10"/>
  <c r="A93" i="10"/>
  <c r="J92" i="10"/>
  <c r="D92" i="10"/>
  <c r="C92" i="10"/>
  <c r="B92" i="10"/>
  <c r="A92" i="10"/>
  <c r="J91" i="10"/>
  <c r="D91" i="10"/>
  <c r="C91" i="10"/>
  <c r="B91" i="10"/>
  <c r="A91" i="10"/>
  <c r="J90" i="10"/>
  <c r="D90" i="10"/>
  <c r="C90" i="10"/>
  <c r="B90" i="10"/>
  <c r="A90" i="10"/>
  <c r="J89" i="10"/>
  <c r="D89" i="10"/>
  <c r="C89" i="10"/>
  <c r="B89" i="10"/>
  <c r="A89" i="10"/>
  <c r="J88" i="10"/>
  <c r="D88" i="10"/>
  <c r="C88" i="10"/>
  <c r="B88" i="10"/>
  <c r="A88" i="10"/>
  <c r="J87" i="10"/>
  <c r="D87" i="10"/>
  <c r="C87" i="10"/>
  <c r="B87" i="10"/>
  <c r="A87" i="10"/>
  <c r="J86" i="10"/>
  <c r="D86" i="10"/>
  <c r="C86" i="10"/>
  <c r="B86" i="10"/>
  <c r="A86" i="10"/>
  <c r="J85" i="10"/>
  <c r="D85" i="10"/>
  <c r="C85" i="10"/>
  <c r="B85" i="10"/>
  <c r="A85" i="10"/>
  <c r="J84" i="10"/>
  <c r="D84" i="10"/>
  <c r="C84" i="10"/>
  <c r="B84" i="10"/>
  <c r="A84" i="10"/>
  <c r="J83" i="10"/>
  <c r="D83" i="10"/>
  <c r="C83" i="10"/>
  <c r="B83" i="10"/>
  <c r="A83" i="10"/>
  <c r="J82" i="10"/>
  <c r="D82" i="10"/>
  <c r="C82" i="10"/>
  <c r="B82" i="10"/>
  <c r="A82" i="10"/>
  <c r="J81" i="10"/>
  <c r="D81" i="10"/>
  <c r="C81" i="10"/>
  <c r="B81" i="10"/>
  <c r="A81" i="10"/>
  <c r="J80" i="10"/>
  <c r="D80" i="10"/>
  <c r="C80" i="10"/>
  <c r="B80" i="10"/>
  <c r="A80" i="10"/>
  <c r="J79" i="10"/>
  <c r="D79" i="10"/>
  <c r="C79" i="10"/>
  <c r="B79" i="10"/>
  <c r="A79" i="10"/>
  <c r="J78" i="10"/>
  <c r="D78" i="10"/>
  <c r="C78" i="10"/>
  <c r="B78" i="10"/>
  <c r="A78" i="10"/>
  <c r="J77" i="10"/>
  <c r="D77" i="10"/>
  <c r="C77" i="10"/>
  <c r="B77" i="10"/>
  <c r="A77" i="10"/>
  <c r="J76" i="10"/>
  <c r="D76" i="10"/>
  <c r="C76" i="10"/>
  <c r="B76" i="10"/>
  <c r="A76" i="10"/>
  <c r="J75" i="10"/>
  <c r="D75" i="10"/>
  <c r="C75" i="10"/>
  <c r="B75" i="10"/>
  <c r="A75" i="10"/>
  <c r="J74" i="10"/>
  <c r="D74" i="10"/>
  <c r="C74" i="10"/>
  <c r="B74" i="10"/>
  <c r="A74" i="10"/>
  <c r="J73" i="10"/>
  <c r="D73" i="10"/>
  <c r="C73" i="10"/>
  <c r="B73" i="10"/>
  <c r="A73" i="10"/>
  <c r="J72" i="10"/>
  <c r="D72" i="10"/>
  <c r="C72" i="10"/>
  <c r="B72" i="10"/>
  <c r="A72" i="10"/>
  <c r="J71" i="10"/>
  <c r="D71" i="10"/>
  <c r="C71" i="10"/>
  <c r="B71" i="10"/>
  <c r="A71" i="10"/>
  <c r="J70" i="10"/>
  <c r="D70" i="10"/>
  <c r="C70" i="10"/>
  <c r="B70" i="10"/>
  <c r="A70" i="10"/>
  <c r="J69" i="10"/>
  <c r="D69" i="10"/>
  <c r="C69" i="10"/>
  <c r="B69" i="10"/>
  <c r="A69" i="10"/>
  <c r="J68" i="10"/>
  <c r="D68" i="10"/>
  <c r="C68" i="10"/>
  <c r="B68" i="10"/>
  <c r="A68" i="10"/>
  <c r="J67" i="10"/>
  <c r="D67" i="10"/>
  <c r="C67" i="10"/>
  <c r="B67" i="10"/>
  <c r="A67" i="10"/>
  <c r="J66" i="10"/>
  <c r="D66" i="10"/>
  <c r="C66" i="10"/>
  <c r="B66" i="10"/>
  <c r="A66" i="10"/>
  <c r="J65" i="10"/>
  <c r="D65" i="10"/>
  <c r="C65" i="10"/>
  <c r="B65" i="10"/>
  <c r="A65" i="10"/>
  <c r="J64" i="10"/>
  <c r="D64" i="10"/>
  <c r="C64" i="10"/>
  <c r="B64" i="10"/>
  <c r="A64" i="10"/>
  <c r="J63" i="10"/>
  <c r="D63" i="10"/>
  <c r="C63" i="10"/>
  <c r="B63" i="10"/>
  <c r="A63" i="10"/>
  <c r="J62" i="10"/>
  <c r="D62" i="10"/>
  <c r="C62" i="10"/>
  <c r="B62" i="10"/>
  <c r="A62" i="10"/>
  <c r="J61" i="10"/>
  <c r="D61" i="10"/>
  <c r="C61" i="10"/>
  <c r="B61" i="10"/>
  <c r="A61" i="10"/>
  <c r="J60" i="10"/>
  <c r="D60" i="10"/>
  <c r="C60" i="10"/>
  <c r="B60" i="10"/>
  <c r="A60" i="10"/>
  <c r="J59" i="10"/>
  <c r="D59" i="10"/>
  <c r="C59" i="10"/>
  <c r="B59" i="10"/>
  <c r="A59" i="10"/>
  <c r="J58" i="10"/>
  <c r="D58" i="10"/>
  <c r="C58" i="10"/>
  <c r="B58" i="10"/>
  <c r="A58" i="10"/>
  <c r="J57" i="10"/>
  <c r="D57" i="10"/>
  <c r="C57" i="10"/>
  <c r="B57" i="10"/>
  <c r="A57" i="10"/>
  <c r="J56" i="10"/>
  <c r="D56" i="10"/>
  <c r="C56" i="10"/>
  <c r="B56" i="10"/>
  <c r="A56" i="10"/>
  <c r="J55" i="10"/>
  <c r="D55" i="10"/>
  <c r="C55" i="10"/>
  <c r="B55" i="10"/>
  <c r="A55" i="10"/>
  <c r="J54" i="10"/>
  <c r="D54" i="10"/>
  <c r="C54" i="10"/>
  <c r="B54" i="10"/>
  <c r="A54" i="10"/>
  <c r="J53" i="10"/>
  <c r="D53" i="10"/>
  <c r="C53" i="10"/>
  <c r="B53" i="10"/>
  <c r="A53" i="10"/>
  <c r="J52" i="10"/>
  <c r="D52" i="10"/>
  <c r="C52" i="10"/>
  <c r="B52" i="10"/>
  <c r="A52" i="10"/>
  <c r="J51" i="10"/>
  <c r="D51" i="10"/>
  <c r="C51" i="10"/>
  <c r="B51" i="10"/>
  <c r="A51" i="10"/>
  <c r="J50" i="10"/>
  <c r="D50" i="10"/>
  <c r="C50" i="10"/>
  <c r="B50" i="10"/>
  <c r="A50" i="10"/>
  <c r="J49" i="10"/>
  <c r="D49" i="10"/>
  <c r="C49" i="10"/>
  <c r="B49" i="10"/>
  <c r="A49" i="10"/>
  <c r="J48" i="10"/>
  <c r="D48" i="10"/>
  <c r="C48" i="10"/>
  <c r="B48" i="10"/>
  <c r="A48" i="10"/>
  <c r="J47" i="10"/>
  <c r="D47" i="10"/>
  <c r="C47" i="10"/>
  <c r="B47" i="10"/>
  <c r="A47" i="10"/>
  <c r="J46" i="10"/>
  <c r="F42" i="10" s="1"/>
  <c r="D46" i="10"/>
  <c r="C46" i="10"/>
  <c r="B46" i="10"/>
  <c r="A46" i="10"/>
  <c r="J45" i="10"/>
  <c r="D45" i="10"/>
  <c r="C45" i="10"/>
  <c r="B45" i="10"/>
  <c r="A45" i="10"/>
  <c r="J44" i="10"/>
  <c r="C44" i="10"/>
  <c r="A44" i="10"/>
  <c r="C41" i="10"/>
  <c r="F40" i="10"/>
  <c r="C40" i="10"/>
  <c r="H37" i="10"/>
  <c r="H36" i="10"/>
  <c r="H35" i="10"/>
  <c r="H34" i="10"/>
  <c r="H33" i="10"/>
  <c r="G8" i="3" s="1"/>
  <c r="H32" i="10"/>
  <c r="H31" i="10"/>
  <c r="H30" i="10"/>
  <c r="H29" i="10"/>
  <c r="H28" i="10"/>
  <c r="H27" i="10"/>
  <c r="H26" i="10"/>
  <c r="H25" i="10"/>
  <c r="H24" i="10"/>
  <c r="H23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40" i="10" s="1"/>
  <c r="H7" i="10"/>
  <c r="H6" i="10"/>
  <c r="H5" i="10"/>
  <c r="H4" i="10"/>
  <c r="H3" i="10"/>
  <c r="D236" i="9"/>
  <c r="C236" i="9"/>
  <c r="B236" i="9"/>
  <c r="A236" i="9"/>
  <c r="D235" i="9"/>
  <c r="C235" i="9"/>
  <c r="B235" i="9"/>
  <c r="A235" i="9"/>
  <c r="D234" i="9"/>
  <c r="C234" i="9"/>
  <c r="B234" i="9"/>
  <c r="A234" i="9"/>
  <c r="D233" i="9"/>
  <c r="C233" i="9"/>
  <c r="B233" i="9"/>
  <c r="A233" i="9"/>
  <c r="D232" i="9"/>
  <c r="C232" i="9"/>
  <c r="B232" i="9"/>
  <c r="A232" i="9"/>
  <c r="D231" i="9"/>
  <c r="C231" i="9"/>
  <c r="B231" i="9"/>
  <c r="A231" i="9"/>
  <c r="D230" i="9"/>
  <c r="C230" i="9"/>
  <c r="B230" i="9"/>
  <c r="A230" i="9"/>
  <c r="D229" i="9"/>
  <c r="C229" i="9"/>
  <c r="B229" i="9"/>
  <c r="A229" i="9"/>
  <c r="D228" i="9"/>
  <c r="C228" i="9"/>
  <c r="B228" i="9"/>
  <c r="A228" i="9"/>
  <c r="D227" i="9"/>
  <c r="C227" i="9"/>
  <c r="B227" i="9"/>
  <c r="A227" i="9"/>
  <c r="D226" i="9"/>
  <c r="C226" i="9"/>
  <c r="B226" i="9"/>
  <c r="A226" i="9"/>
  <c r="D225" i="9"/>
  <c r="C225" i="9"/>
  <c r="B225" i="9"/>
  <c r="A225" i="9"/>
  <c r="D224" i="9"/>
  <c r="C224" i="9"/>
  <c r="B224" i="9"/>
  <c r="A224" i="9"/>
  <c r="D223" i="9"/>
  <c r="C223" i="9"/>
  <c r="B223" i="9"/>
  <c r="A223" i="9"/>
  <c r="D222" i="9"/>
  <c r="C222" i="9"/>
  <c r="B222" i="9"/>
  <c r="A222" i="9"/>
  <c r="D221" i="9"/>
  <c r="C221" i="9"/>
  <c r="B221" i="9"/>
  <c r="A221" i="9"/>
  <c r="D220" i="9"/>
  <c r="C220" i="9"/>
  <c r="B220" i="9"/>
  <c r="A220" i="9"/>
  <c r="D219" i="9"/>
  <c r="C219" i="9"/>
  <c r="B219" i="9"/>
  <c r="A219" i="9"/>
  <c r="D218" i="9"/>
  <c r="C218" i="9"/>
  <c r="B218" i="9"/>
  <c r="A218" i="9"/>
  <c r="D217" i="9"/>
  <c r="C217" i="9"/>
  <c r="B217" i="9"/>
  <c r="A217" i="9"/>
  <c r="D216" i="9"/>
  <c r="C216" i="9"/>
  <c r="B216" i="9"/>
  <c r="A216" i="9"/>
  <c r="D215" i="9"/>
  <c r="C215" i="9"/>
  <c r="B215" i="9"/>
  <c r="A215" i="9"/>
  <c r="D214" i="9"/>
  <c r="C214" i="9"/>
  <c r="B214" i="9"/>
  <c r="A214" i="9"/>
  <c r="J213" i="9"/>
  <c r="D213" i="9"/>
  <c r="C213" i="9"/>
  <c r="B213" i="9"/>
  <c r="A213" i="9"/>
  <c r="J212" i="9"/>
  <c r="D212" i="9"/>
  <c r="C212" i="9"/>
  <c r="B212" i="9"/>
  <c r="A212" i="9"/>
  <c r="J211" i="9"/>
  <c r="D211" i="9"/>
  <c r="C211" i="9"/>
  <c r="B211" i="9"/>
  <c r="A211" i="9"/>
  <c r="J210" i="9"/>
  <c r="D210" i="9"/>
  <c r="C210" i="9"/>
  <c r="B210" i="9"/>
  <c r="A210" i="9"/>
  <c r="J209" i="9"/>
  <c r="D209" i="9"/>
  <c r="C209" i="9"/>
  <c r="B209" i="9"/>
  <c r="A209" i="9"/>
  <c r="J208" i="9"/>
  <c r="D208" i="9"/>
  <c r="C208" i="9"/>
  <c r="B208" i="9"/>
  <c r="A208" i="9"/>
  <c r="J207" i="9"/>
  <c r="D207" i="9"/>
  <c r="C207" i="9"/>
  <c r="B207" i="9"/>
  <c r="A207" i="9"/>
  <c r="J206" i="9"/>
  <c r="D206" i="9"/>
  <c r="C206" i="9"/>
  <c r="B206" i="9"/>
  <c r="A206" i="9"/>
  <c r="J205" i="9"/>
  <c r="D205" i="9"/>
  <c r="C205" i="9"/>
  <c r="B205" i="9"/>
  <c r="A205" i="9"/>
  <c r="J204" i="9"/>
  <c r="D204" i="9"/>
  <c r="C204" i="9"/>
  <c r="B204" i="9"/>
  <c r="A204" i="9"/>
  <c r="J203" i="9"/>
  <c r="D203" i="9"/>
  <c r="C203" i="9"/>
  <c r="B203" i="9"/>
  <c r="A203" i="9"/>
  <c r="J202" i="9"/>
  <c r="D202" i="9"/>
  <c r="C202" i="9"/>
  <c r="B202" i="9"/>
  <c r="A202" i="9"/>
  <c r="J201" i="9"/>
  <c r="D201" i="9"/>
  <c r="C201" i="9"/>
  <c r="B201" i="9"/>
  <c r="A201" i="9"/>
  <c r="J200" i="9"/>
  <c r="D200" i="9"/>
  <c r="C200" i="9"/>
  <c r="B200" i="9"/>
  <c r="A200" i="9"/>
  <c r="J199" i="9"/>
  <c r="D199" i="9"/>
  <c r="C199" i="9"/>
  <c r="B199" i="9"/>
  <c r="A199" i="9"/>
  <c r="J198" i="9"/>
  <c r="D198" i="9"/>
  <c r="C198" i="9"/>
  <c r="B198" i="9"/>
  <c r="A198" i="9"/>
  <c r="J197" i="9"/>
  <c r="D197" i="9"/>
  <c r="C197" i="9"/>
  <c r="B197" i="9"/>
  <c r="A197" i="9"/>
  <c r="J196" i="9"/>
  <c r="D196" i="9"/>
  <c r="C196" i="9"/>
  <c r="B196" i="9"/>
  <c r="A196" i="9"/>
  <c r="J195" i="9"/>
  <c r="D195" i="9"/>
  <c r="C195" i="9"/>
  <c r="B195" i="9"/>
  <c r="A195" i="9"/>
  <c r="J194" i="9"/>
  <c r="D194" i="9"/>
  <c r="C194" i="9"/>
  <c r="B194" i="9"/>
  <c r="A194" i="9"/>
  <c r="J193" i="9"/>
  <c r="D193" i="9"/>
  <c r="C193" i="9"/>
  <c r="B193" i="9"/>
  <c r="A193" i="9"/>
  <c r="J192" i="9"/>
  <c r="D192" i="9"/>
  <c r="C192" i="9"/>
  <c r="B192" i="9"/>
  <c r="A192" i="9"/>
  <c r="J191" i="9"/>
  <c r="D191" i="9"/>
  <c r="C191" i="9"/>
  <c r="B191" i="9"/>
  <c r="A191" i="9"/>
  <c r="J190" i="9"/>
  <c r="D190" i="9"/>
  <c r="C190" i="9"/>
  <c r="B190" i="9"/>
  <c r="A190" i="9"/>
  <c r="J189" i="9"/>
  <c r="D189" i="9"/>
  <c r="C189" i="9"/>
  <c r="B189" i="9"/>
  <c r="A189" i="9"/>
  <c r="J188" i="9"/>
  <c r="D188" i="9"/>
  <c r="C188" i="9"/>
  <c r="B188" i="9"/>
  <c r="A188" i="9"/>
  <c r="J187" i="9"/>
  <c r="D187" i="9"/>
  <c r="C187" i="9"/>
  <c r="B187" i="9"/>
  <c r="A187" i="9"/>
  <c r="J186" i="9"/>
  <c r="D186" i="9"/>
  <c r="C186" i="9"/>
  <c r="B186" i="9"/>
  <c r="A186" i="9"/>
  <c r="J185" i="9"/>
  <c r="D185" i="9"/>
  <c r="C185" i="9"/>
  <c r="B185" i="9"/>
  <c r="A185" i="9"/>
  <c r="J184" i="9"/>
  <c r="D184" i="9"/>
  <c r="C184" i="9"/>
  <c r="B184" i="9"/>
  <c r="A184" i="9"/>
  <c r="J183" i="9"/>
  <c r="D183" i="9"/>
  <c r="C183" i="9"/>
  <c r="B183" i="9"/>
  <c r="A183" i="9"/>
  <c r="J182" i="9"/>
  <c r="D182" i="9"/>
  <c r="C182" i="9"/>
  <c r="B182" i="9"/>
  <c r="A182" i="9"/>
  <c r="J181" i="9"/>
  <c r="D181" i="9"/>
  <c r="C181" i="9"/>
  <c r="B181" i="9"/>
  <c r="A181" i="9"/>
  <c r="J180" i="9"/>
  <c r="D180" i="9"/>
  <c r="C180" i="9"/>
  <c r="B180" i="9"/>
  <c r="A180" i="9"/>
  <c r="J179" i="9"/>
  <c r="D179" i="9"/>
  <c r="C179" i="9"/>
  <c r="B179" i="9"/>
  <c r="A179" i="9"/>
  <c r="J178" i="9"/>
  <c r="D178" i="9"/>
  <c r="C178" i="9"/>
  <c r="B178" i="9"/>
  <c r="A178" i="9"/>
  <c r="J177" i="9"/>
  <c r="D177" i="9"/>
  <c r="C177" i="9"/>
  <c r="B177" i="9"/>
  <c r="A177" i="9"/>
  <c r="J176" i="9"/>
  <c r="D176" i="9"/>
  <c r="C176" i="9"/>
  <c r="B176" i="9"/>
  <c r="A176" i="9"/>
  <c r="J175" i="9"/>
  <c r="D175" i="9"/>
  <c r="C175" i="9"/>
  <c r="B175" i="9"/>
  <c r="A175" i="9"/>
  <c r="J174" i="9"/>
  <c r="D174" i="9"/>
  <c r="C174" i="9"/>
  <c r="B174" i="9"/>
  <c r="A174" i="9"/>
  <c r="J173" i="9"/>
  <c r="D173" i="9"/>
  <c r="C173" i="9"/>
  <c r="B173" i="9"/>
  <c r="A173" i="9"/>
  <c r="J172" i="9"/>
  <c r="D172" i="9"/>
  <c r="C172" i="9"/>
  <c r="B172" i="9"/>
  <c r="A172" i="9"/>
  <c r="J171" i="9"/>
  <c r="D171" i="9"/>
  <c r="C171" i="9"/>
  <c r="B171" i="9"/>
  <c r="A171" i="9"/>
  <c r="J170" i="9"/>
  <c r="D170" i="9"/>
  <c r="C170" i="9"/>
  <c r="B170" i="9"/>
  <c r="A170" i="9"/>
  <c r="J169" i="9"/>
  <c r="D169" i="9"/>
  <c r="C169" i="9"/>
  <c r="B169" i="9"/>
  <c r="A169" i="9"/>
  <c r="J168" i="9"/>
  <c r="D168" i="9"/>
  <c r="C168" i="9"/>
  <c r="B168" i="9"/>
  <c r="A168" i="9"/>
  <c r="J167" i="9"/>
  <c r="D167" i="9"/>
  <c r="C167" i="9"/>
  <c r="B167" i="9"/>
  <c r="A167" i="9"/>
  <c r="J166" i="9"/>
  <c r="D166" i="9"/>
  <c r="C166" i="9"/>
  <c r="B166" i="9"/>
  <c r="A166" i="9"/>
  <c r="J165" i="9"/>
  <c r="D165" i="9"/>
  <c r="C165" i="9"/>
  <c r="B165" i="9"/>
  <c r="A165" i="9"/>
  <c r="J164" i="9"/>
  <c r="D164" i="9"/>
  <c r="C164" i="9"/>
  <c r="B164" i="9"/>
  <c r="A164" i="9"/>
  <c r="J163" i="9"/>
  <c r="D163" i="9"/>
  <c r="C163" i="9"/>
  <c r="B163" i="9"/>
  <c r="A163" i="9"/>
  <c r="J162" i="9"/>
  <c r="D162" i="9"/>
  <c r="C162" i="9"/>
  <c r="B162" i="9"/>
  <c r="A162" i="9"/>
  <c r="J161" i="9"/>
  <c r="D161" i="9"/>
  <c r="C161" i="9"/>
  <c r="B161" i="9"/>
  <c r="A161" i="9"/>
  <c r="J160" i="9"/>
  <c r="D160" i="9"/>
  <c r="C160" i="9"/>
  <c r="B160" i="9"/>
  <c r="A160" i="9"/>
  <c r="J159" i="9"/>
  <c r="D159" i="9"/>
  <c r="C159" i="9"/>
  <c r="B159" i="9"/>
  <c r="A159" i="9"/>
  <c r="J158" i="9"/>
  <c r="D158" i="9"/>
  <c r="C158" i="9"/>
  <c r="B158" i="9"/>
  <c r="A158" i="9"/>
  <c r="J157" i="9"/>
  <c r="C157" i="9"/>
  <c r="A157" i="9"/>
  <c r="J156" i="9"/>
  <c r="D156" i="9"/>
  <c r="C156" i="9"/>
  <c r="B156" i="9"/>
  <c r="A156" i="9"/>
  <c r="J155" i="9"/>
  <c r="D155" i="9"/>
  <c r="C155" i="9"/>
  <c r="B155" i="9"/>
  <c r="A155" i="9"/>
  <c r="J154" i="9"/>
  <c r="D154" i="9"/>
  <c r="C154" i="9"/>
  <c r="B154" i="9"/>
  <c r="A154" i="9"/>
  <c r="J153" i="9"/>
  <c r="D153" i="9"/>
  <c r="C153" i="9"/>
  <c r="B153" i="9"/>
  <c r="A153" i="9"/>
  <c r="J152" i="9"/>
  <c r="D152" i="9"/>
  <c r="C152" i="9"/>
  <c r="B152" i="9"/>
  <c r="A152" i="9"/>
  <c r="J151" i="9"/>
  <c r="D151" i="9"/>
  <c r="C151" i="9"/>
  <c r="B151" i="9"/>
  <c r="A151" i="9"/>
  <c r="J150" i="9"/>
  <c r="D150" i="9"/>
  <c r="C150" i="9"/>
  <c r="B150" i="9"/>
  <c r="A150" i="9"/>
  <c r="J149" i="9"/>
  <c r="D149" i="9"/>
  <c r="C149" i="9"/>
  <c r="B149" i="9"/>
  <c r="A149" i="9"/>
  <c r="J148" i="9"/>
  <c r="D148" i="9"/>
  <c r="C148" i="9"/>
  <c r="B148" i="9"/>
  <c r="A148" i="9"/>
  <c r="J147" i="9"/>
  <c r="D147" i="9"/>
  <c r="C147" i="9"/>
  <c r="B147" i="9"/>
  <c r="A147" i="9"/>
  <c r="J146" i="9"/>
  <c r="D146" i="9"/>
  <c r="C146" i="9"/>
  <c r="B146" i="9"/>
  <c r="A146" i="9"/>
  <c r="J145" i="9"/>
  <c r="D145" i="9"/>
  <c r="C145" i="9"/>
  <c r="B145" i="9"/>
  <c r="A145" i="9"/>
  <c r="J144" i="9"/>
  <c r="D144" i="9"/>
  <c r="C144" i="9"/>
  <c r="B144" i="9"/>
  <c r="A144" i="9"/>
  <c r="J143" i="9"/>
  <c r="D143" i="9"/>
  <c r="C143" i="9"/>
  <c r="B143" i="9"/>
  <c r="A143" i="9"/>
  <c r="J142" i="9"/>
  <c r="D142" i="9"/>
  <c r="C142" i="9"/>
  <c r="B142" i="9"/>
  <c r="A142" i="9"/>
  <c r="J141" i="9"/>
  <c r="D141" i="9"/>
  <c r="C141" i="9"/>
  <c r="B141" i="9"/>
  <c r="A141" i="9"/>
  <c r="J140" i="9"/>
  <c r="D140" i="9"/>
  <c r="C140" i="9"/>
  <c r="B140" i="9"/>
  <c r="A140" i="9"/>
  <c r="J139" i="9"/>
  <c r="D139" i="9"/>
  <c r="C139" i="9"/>
  <c r="B139" i="9"/>
  <c r="A139" i="9"/>
  <c r="J138" i="9"/>
  <c r="D138" i="9"/>
  <c r="C138" i="9"/>
  <c r="B138" i="9"/>
  <c r="A138" i="9"/>
  <c r="J137" i="9"/>
  <c r="D137" i="9"/>
  <c r="C137" i="9"/>
  <c r="B137" i="9"/>
  <c r="A137" i="9"/>
  <c r="J136" i="9"/>
  <c r="D136" i="9"/>
  <c r="C136" i="9"/>
  <c r="B136" i="9"/>
  <c r="A136" i="9"/>
  <c r="J135" i="9"/>
  <c r="D135" i="9"/>
  <c r="C135" i="9"/>
  <c r="B135" i="9"/>
  <c r="A135" i="9"/>
  <c r="J134" i="9"/>
  <c r="D134" i="9"/>
  <c r="C134" i="9"/>
  <c r="B134" i="9"/>
  <c r="A134" i="9"/>
  <c r="J133" i="9"/>
  <c r="D133" i="9"/>
  <c r="C133" i="9"/>
  <c r="B133" i="9"/>
  <c r="A133" i="9"/>
  <c r="J132" i="9"/>
  <c r="D132" i="9"/>
  <c r="C132" i="9"/>
  <c r="B132" i="9"/>
  <c r="A132" i="9"/>
  <c r="J131" i="9"/>
  <c r="D131" i="9"/>
  <c r="C131" i="9"/>
  <c r="B131" i="9"/>
  <c r="A131" i="9"/>
  <c r="J130" i="9"/>
  <c r="D130" i="9"/>
  <c r="C130" i="9"/>
  <c r="B130" i="9"/>
  <c r="A130" i="9"/>
  <c r="J129" i="9"/>
  <c r="D129" i="9"/>
  <c r="C129" i="9"/>
  <c r="B129" i="9"/>
  <c r="A129" i="9"/>
  <c r="J128" i="9"/>
  <c r="D128" i="9"/>
  <c r="C128" i="9"/>
  <c r="B128" i="9"/>
  <c r="A128" i="9"/>
  <c r="J127" i="9"/>
  <c r="D127" i="9"/>
  <c r="C127" i="9"/>
  <c r="B127" i="9"/>
  <c r="A127" i="9"/>
  <c r="J126" i="9"/>
  <c r="D126" i="9"/>
  <c r="C126" i="9"/>
  <c r="B126" i="9"/>
  <c r="A126" i="9"/>
  <c r="J125" i="9"/>
  <c r="D125" i="9"/>
  <c r="C125" i="9"/>
  <c r="B125" i="9"/>
  <c r="A125" i="9"/>
  <c r="J124" i="9"/>
  <c r="D124" i="9"/>
  <c r="C124" i="9"/>
  <c r="B124" i="9"/>
  <c r="A124" i="9"/>
  <c r="J123" i="9"/>
  <c r="D123" i="9"/>
  <c r="C123" i="9"/>
  <c r="B123" i="9"/>
  <c r="A123" i="9"/>
  <c r="J122" i="9"/>
  <c r="D122" i="9"/>
  <c r="C122" i="9"/>
  <c r="B122" i="9"/>
  <c r="A122" i="9"/>
  <c r="J121" i="9"/>
  <c r="D121" i="9"/>
  <c r="C121" i="9"/>
  <c r="B121" i="9"/>
  <c r="A121" i="9"/>
  <c r="J120" i="9"/>
  <c r="D120" i="9"/>
  <c r="C120" i="9"/>
  <c r="B120" i="9"/>
  <c r="A120" i="9"/>
  <c r="J119" i="9"/>
  <c r="D119" i="9"/>
  <c r="C119" i="9"/>
  <c r="B119" i="9"/>
  <c r="A119" i="9"/>
  <c r="J118" i="9"/>
  <c r="D118" i="9"/>
  <c r="C118" i="9"/>
  <c r="B118" i="9"/>
  <c r="A118" i="9"/>
  <c r="J117" i="9"/>
  <c r="D117" i="9"/>
  <c r="C117" i="9"/>
  <c r="B117" i="9"/>
  <c r="A117" i="9"/>
  <c r="J116" i="9"/>
  <c r="D116" i="9"/>
  <c r="C116" i="9"/>
  <c r="B116" i="9"/>
  <c r="A116" i="9"/>
  <c r="J115" i="9"/>
  <c r="D115" i="9"/>
  <c r="C115" i="9"/>
  <c r="B115" i="9"/>
  <c r="A115" i="9"/>
  <c r="J114" i="9"/>
  <c r="D114" i="9"/>
  <c r="C114" i="9"/>
  <c r="B114" i="9"/>
  <c r="A114" i="9"/>
  <c r="J113" i="9"/>
  <c r="D113" i="9"/>
  <c r="C113" i="9"/>
  <c r="B113" i="9"/>
  <c r="A113" i="9"/>
  <c r="J112" i="9"/>
  <c r="D112" i="9"/>
  <c r="C112" i="9"/>
  <c r="B112" i="9"/>
  <c r="A112" i="9"/>
  <c r="J111" i="9"/>
  <c r="D111" i="9"/>
  <c r="C111" i="9"/>
  <c r="B111" i="9"/>
  <c r="A111" i="9"/>
  <c r="J110" i="9"/>
  <c r="D110" i="9"/>
  <c r="C110" i="9"/>
  <c r="B110" i="9"/>
  <c r="A110" i="9"/>
  <c r="J109" i="9"/>
  <c r="D109" i="9"/>
  <c r="C109" i="9"/>
  <c r="B109" i="9"/>
  <c r="A109" i="9"/>
  <c r="J108" i="9"/>
  <c r="D108" i="9"/>
  <c r="C108" i="9"/>
  <c r="B108" i="9"/>
  <c r="A108" i="9"/>
  <c r="J107" i="9"/>
  <c r="D107" i="9"/>
  <c r="C107" i="9"/>
  <c r="B107" i="9"/>
  <c r="A107" i="9"/>
  <c r="J106" i="9"/>
  <c r="D106" i="9"/>
  <c r="C106" i="9"/>
  <c r="B106" i="9"/>
  <c r="A106" i="9"/>
  <c r="J105" i="9"/>
  <c r="D105" i="9"/>
  <c r="C105" i="9"/>
  <c r="B105" i="9"/>
  <c r="A105" i="9"/>
  <c r="J104" i="9"/>
  <c r="D104" i="9"/>
  <c r="C104" i="9"/>
  <c r="B104" i="9"/>
  <c r="A104" i="9"/>
  <c r="J103" i="9"/>
  <c r="D103" i="9"/>
  <c r="C103" i="9"/>
  <c r="B103" i="9"/>
  <c r="A103" i="9"/>
  <c r="J102" i="9"/>
  <c r="D102" i="9"/>
  <c r="C102" i="9"/>
  <c r="B102" i="9"/>
  <c r="A102" i="9"/>
  <c r="J101" i="9"/>
  <c r="D101" i="9"/>
  <c r="C101" i="9"/>
  <c r="B101" i="9"/>
  <c r="A101" i="9"/>
  <c r="J100" i="9"/>
  <c r="D100" i="9"/>
  <c r="C100" i="9"/>
  <c r="B100" i="9"/>
  <c r="A100" i="9"/>
  <c r="J99" i="9"/>
  <c r="D99" i="9"/>
  <c r="C99" i="9"/>
  <c r="B99" i="9"/>
  <c r="A99" i="9"/>
  <c r="J98" i="9"/>
  <c r="D98" i="9"/>
  <c r="C98" i="9"/>
  <c r="B98" i="9"/>
  <c r="A98" i="9"/>
  <c r="J97" i="9"/>
  <c r="D97" i="9"/>
  <c r="C97" i="9"/>
  <c r="B97" i="9"/>
  <c r="A97" i="9"/>
  <c r="J96" i="9"/>
  <c r="D96" i="9"/>
  <c r="C96" i="9"/>
  <c r="B96" i="9"/>
  <c r="A96" i="9"/>
  <c r="J95" i="9"/>
  <c r="D95" i="9"/>
  <c r="C95" i="9"/>
  <c r="B95" i="9"/>
  <c r="A95" i="9"/>
  <c r="J94" i="9"/>
  <c r="D94" i="9"/>
  <c r="C94" i="9"/>
  <c r="B94" i="9"/>
  <c r="A94" i="9"/>
  <c r="J93" i="9"/>
  <c r="D93" i="9"/>
  <c r="C93" i="9"/>
  <c r="B93" i="9"/>
  <c r="A93" i="9"/>
  <c r="J92" i="9"/>
  <c r="D92" i="9"/>
  <c r="C92" i="9"/>
  <c r="B92" i="9"/>
  <c r="A92" i="9"/>
  <c r="J91" i="9"/>
  <c r="D91" i="9"/>
  <c r="C91" i="9"/>
  <c r="B91" i="9"/>
  <c r="A91" i="9"/>
  <c r="J90" i="9"/>
  <c r="D90" i="9"/>
  <c r="C90" i="9"/>
  <c r="B90" i="9"/>
  <c r="A90" i="9"/>
  <c r="J89" i="9"/>
  <c r="D89" i="9"/>
  <c r="C89" i="9"/>
  <c r="B89" i="9"/>
  <c r="A89" i="9"/>
  <c r="J88" i="9"/>
  <c r="D88" i="9"/>
  <c r="C88" i="9"/>
  <c r="B88" i="9"/>
  <c r="A88" i="9"/>
  <c r="J87" i="9"/>
  <c r="D87" i="9"/>
  <c r="C87" i="9"/>
  <c r="B87" i="9"/>
  <c r="A87" i="9"/>
  <c r="J86" i="9"/>
  <c r="D86" i="9"/>
  <c r="C86" i="9"/>
  <c r="B86" i="9"/>
  <c r="A86" i="9"/>
  <c r="J85" i="9"/>
  <c r="D85" i="9"/>
  <c r="C85" i="9"/>
  <c r="B85" i="9"/>
  <c r="A85" i="9"/>
  <c r="J84" i="9"/>
  <c r="D84" i="9"/>
  <c r="C84" i="9"/>
  <c r="B84" i="9"/>
  <c r="A84" i="9"/>
  <c r="J83" i="9"/>
  <c r="D83" i="9"/>
  <c r="C83" i="9"/>
  <c r="B83" i="9"/>
  <c r="A83" i="9"/>
  <c r="J82" i="9"/>
  <c r="D82" i="9"/>
  <c r="C82" i="9"/>
  <c r="B82" i="9"/>
  <c r="A82" i="9"/>
  <c r="J81" i="9"/>
  <c r="D81" i="9"/>
  <c r="C81" i="9"/>
  <c r="B81" i="9"/>
  <c r="A81" i="9"/>
  <c r="J80" i="9"/>
  <c r="D80" i="9"/>
  <c r="C80" i="9"/>
  <c r="B80" i="9"/>
  <c r="A80" i="9"/>
  <c r="J79" i="9"/>
  <c r="D79" i="9"/>
  <c r="C79" i="9"/>
  <c r="B79" i="9"/>
  <c r="A79" i="9"/>
  <c r="J78" i="9"/>
  <c r="D78" i="9"/>
  <c r="C78" i="9"/>
  <c r="B78" i="9"/>
  <c r="A78" i="9"/>
  <c r="J77" i="9"/>
  <c r="D77" i="9"/>
  <c r="C77" i="9"/>
  <c r="B77" i="9"/>
  <c r="A77" i="9"/>
  <c r="J76" i="9"/>
  <c r="D76" i="9"/>
  <c r="C76" i="9"/>
  <c r="B76" i="9"/>
  <c r="A76" i="9"/>
  <c r="J75" i="9"/>
  <c r="D75" i="9"/>
  <c r="C75" i="9"/>
  <c r="B75" i="9"/>
  <c r="A75" i="9"/>
  <c r="J74" i="9"/>
  <c r="D74" i="9"/>
  <c r="C74" i="9"/>
  <c r="B74" i="9"/>
  <c r="A74" i="9"/>
  <c r="J73" i="9"/>
  <c r="D73" i="9"/>
  <c r="C73" i="9"/>
  <c r="B73" i="9"/>
  <c r="A73" i="9"/>
  <c r="J72" i="9"/>
  <c r="D72" i="9"/>
  <c r="C72" i="9"/>
  <c r="B72" i="9"/>
  <c r="A72" i="9"/>
  <c r="J71" i="9"/>
  <c r="D71" i="9"/>
  <c r="C71" i="9"/>
  <c r="B71" i="9"/>
  <c r="A71" i="9"/>
  <c r="J70" i="9"/>
  <c r="D70" i="9"/>
  <c r="C70" i="9"/>
  <c r="B70" i="9"/>
  <c r="A70" i="9"/>
  <c r="J69" i="9"/>
  <c r="D69" i="9"/>
  <c r="C69" i="9"/>
  <c r="B69" i="9"/>
  <c r="A69" i="9"/>
  <c r="J68" i="9"/>
  <c r="D68" i="9"/>
  <c r="C68" i="9"/>
  <c r="B68" i="9"/>
  <c r="A68" i="9"/>
  <c r="J67" i="9"/>
  <c r="D67" i="9"/>
  <c r="C67" i="9"/>
  <c r="B67" i="9"/>
  <c r="A67" i="9"/>
  <c r="J66" i="9"/>
  <c r="D66" i="9"/>
  <c r="C66" i="9"/>
  <c r="B66" i="9"/>
  <c r="A66" i="9"/>
  <c r="J65" i="9"/>
  <c r="D65" i="9"/>
  <c r="C65" i="9"/>
  <c r="B65" i="9"/>
  <c r="A65" i="9"/>
  <c r="J64" i="9"/>
  <c r="D64" i="9"/>
  <c r="C64" i="9"/>
  <c r="B64" i="9"/>
  <c r="A64" i="9"/>
  <c r="J63" i="9"/>
  <c r="D63" i="9"/>
  <c r="C63" i="9"/>
  <c r="B63" i="9"/>
  <c r="A63" i="9"/>
  <c r="J62" i="9"/>
  <c r="D62" i="9"/>
  <c r="C62" i="9"/>
  <c r="B62" i="9"/>
  <c r="A62" i="9"/>
  <c r="J61" i="9"/>
  <c r="D61" i="9"/>
  <c r="C61" i="9"/>
  <c r="B61" i="9"/>
  <c r="A61" i="9"/>
  <c r="J60" i="9"/>
  <c r="D60" i="9"/>
  <c r="C60" i="9"/>
  <c r="B60" i="9"/>
  <c r="A60" i="9"/>
  <c r="J59" i="9"/>
  <c r="D59" i="9"/>
  <c r="C59" i="9"/>
  <c r="B59" i="9"/>
  <c r="A59" i="9"/>
  <c r="J58" i="9"/>
  <c r="D58" i="9"/>
  <c r="C58" i="9"/>
  <c r="B58" i="9"/>
  <c r="A58" i="9"/>
  <c r="J57" i="9"/>
  <c r="D57" i="9"/>
  <c r="C57" i="9"/>
  <c r="B57" i="9"/>
  <c r="A57" i="9"/>
  <c r="J56" i="9"/>
  <c r="D56" i="9"/>
  <c r="C56" i="9"/>
  <c r="B56" i="9"/>
  <c r="A56" i="9"/>
  <c r="J55" i="9"/>
  <c r="D55" i="9"/>
  <c r="C55" i="9"/>
  <c r="B55" i="9"/>
  <c r="A55" i="9"/>
  <c r="J54" i="9"/>
  <c r="D54" i="9"/>
  <c r="C54" i="9"/>
  <c r="B54" i="9"/>
  <c r="A54" i="9"/>
  <c r="J53" i="9"/>
  <c r="D53" i="9"/>
  <c r="C53" i="9"/>
  <c r="B53" i="9"/>
  <c r="A53" i="9"/>
  <c r="J52" i="9"/>
  <c r="D52" i="9"/>
  <c r="C52" i="9"/>
  <c r="B52" i="9"/>
  <c r="A52" i="9"/>
  <c r="J51" i="9"/>
  <c r="D51" i="9"/>
  <c r="C51" i="9"/>
  <c r="B51" i="9"/>
  <c r="A51" i="9"/>
  <c r="J50" i="9"/>
  <c r="D50" i="9"/>
  <c r="C50" i="9"/>
  <c r="B50" i="9"/>
  <c r="A50" i="9"/>
  <c r="J49" i="9"/>
  <c r="D49" i="9"/>
  <c r="C49" i="9"/>
  <c r="B49" i="9"/>
  <c r="A49" i="9"/>
  <c r="J48" i="9"/>
  <c r="D48" i="9"/>
  <c r="C48" i="9"/>
  <c r="B48" i="9"/>
  <c r="A48" i="9"/>
  <c r="J47" i="9"/>
  <c r="D47" i="9"/>
  <c r="C47" i="9"/>
  <c r="B47" i="9"/>
  <c r="A47" i="9"/>
  <c r="J46" i="9"/>
  <c r="D46" i="9"/>
  <c r="C46" i="9"/>
  <c r="B46" i="9"/>
  <c r="A46" i="9"/>
  <c r="J45" i="9"/>
  <c r="D45" i="9"/>
  <c r="C45" i="9"/>
  <c r="B45" i="9"/>
  <c r="A45" i="9"/>
  <c r="J44" i="9"/>
  <c r="F42" i="9" s="1"/>
  <c r="C44" i="9"/>
  <c r="A44" i="9"/>
  <c r="C41" i="9"/>
  <c r="F40" i="9"/>
  <c r="C40" i="9"/>
  <c r="H38" i="9"/>
  <c r="H37" i="9"/>
  <c r="H36" i="9"/>
  <c r="H35" i="9"/>
  <c r="H34" i="9"/>
  <c r="H33" i="9"/>
  <c r="H32" i="9"/>
  <c r="H31" i="9"/>
  <c r="H30" i="9"/>
  <c r="H29" i="9"/>
  <c r="F7" i="3" s="1"/>
  <c r="H28" i="9"/>
  <c r="H27" i="9"/>
  <c r="H26" i="9"/>
  <c r="H25" i="9"/>
  <c r="H24" i="9"/>
  <c r="H23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40" i="9" s="1"/>
  <c r="H3" i="9"/>
  <c r="D237" i="8"/>
  <c r="C237" i="8"/>
  <c r="B237" i="8"/>
  <c r="A237" i="8"/>
  <c r="D236" i="8"/>
  <c r="C236" i="8"/>
  <c r="B236" i="8"/>
  <c r="A236" i="8"/>
  <c r="D235" i="8"/>
  <c r="C235" i="8"/>
  <c r="B235" i="8"/>
  <c r="A235" i="8"/>
  <c r="D234" i="8"/>
  <c r="C234" i="8"/>
  <c r="B234" i="8"/>
  <c r="A234" i="8"/>
  <c r="D233" i="8"/>
  <c r="C233" i="8"/>
  <c r="B233" i="8"/>
  <c r="A233" i="8"/>
  <c r="D232" i="8"/>
  <c r="C232" i="8"/>
  <c r="B232" i="8"/>
  <c r="A232" i="8"/>
  <c r="D231" i="8"/>
  <c r="C231" i="8"/>
  <c r="B231" i="8"/>
  <c r="A231" i="8"/>
  <c r="D230" i="8"/>
  <c r="C230" i="8"/>
  <c r="B230" i="8"/>
  <c r="A230" i="8"/>
  <c r="D229" i="8"/>
  <c r="C229" i="8"/>
  <c r="B229" i="8"/>
  <c r="A229" i="8"/>
  <c r="D228" i="8"/>
  <c r="C228" i="8"/>
  <c r="B228" i="8"/>
  <c r="A228" i="8"/>
  <c r="D227" i="8"/>
  <c r="C227" i="8"/>
  <c r="B227" i="8"/>
  <c r="A227" i="8"/>
  <c r="D226" i="8"/>
  <c r="C226" i="8"/>
  <c r="B226" i="8"/>
  <c r="A226" i="8"/>
  <c r="D225" i="8"/>
  <c r="C225" i="8"/>
  <c r="B225" i="8"/>
  <c r="A225" i="8"/>
  <c r="D224" i="8"/>
  <c r="C224" i="8"/>
  <c r="B224" i="8"/>
  <c r="A224" i="8"/>
  <c r="D223" i="8"/>
  <c r="C223" i="8"/>
  <c r="B223" i="8"/>
  <c r="A223" i="8"/>
  <c r="D222" i="8"/>
  <c r="C222" i="8"/>
  <c r="B222" i="8"/>
  <c r="A222" i="8"/>
  <c r="D221" i="8"/>
  <c r="C221" i="8"/>
  <c r="B221" i="8"/>
  <c r="A221" i="8"/>
  <c r="D220" i="8"/>
  <c r="C220" i="8"/>
  <c r="B220" i="8"/>
  <c r="A220" i="8"/>
  <c r="D219" i="8"/>
  <c r="C219" i="8"/>
  <c r="B219" i="8"/>
  <c r="A219" i="8"/>
  <c r="D218" i="8"/>
  <c r="C218" i="8"/>
  <c r="B218" i="8"/>
  <c r="A218" i="8"/>
  <c r="D217" i="8"/>
  <c r="C217" i="8"/>
  <c r="B217" i="8"/>
  <c r="A217" i="8"/>
  <c r="D216" i="8"/>
  <c r="C216" i="8"/>
  <c r="B216" i="8"/>
  <c r="A216" i="8"/>
  <c r="D215" i="8"/>
  <c r="C215" i="8"/>
  <c r="B215" i="8"/>
  <c r="A215" i="8"/>
  <c r="J214" i="8"/>
  <c r="D214" i="8"/>
  <c r="C214" i="8"/>
  <c r="B214" i="8"/>
  <c r="A214" i="8"/>
  <c r="J213" i="8"/>
  <c r="D213" i="8"/>
  <c r="C213" i="8"/>
  <c r="B213" i="8"/>
  <c r="A213" i="8"/>
  <c r="J212" i="8"/>
  <c r="D212" i="8"/>
  <c r="C212" i="8"/>
  <c r="B212" i="8"/>
  <c r="A212" i="8"/>
  <c r="J211" i="8"/>
  <c r="D211" i="8"/>
  <c r="C211" i="8"/>
  <c r="B211" i="8"/>
  <c r="A211" i="8"/>
  <c r="J210" i="8"/>
  <c r="D210" i="8"/>
  <c r="C210" i="8"/>
  <c r="B210" i="8"/>
  <c r="A210" i="8"/>
  <c r="J209" i="8"/>
  <c r="D209" i="8"/>
  <c r="C209" i="8"/>
  <c r="B209" i="8"/>
  <c r="A209" i="8"/>
  <c r="J208" i="8"/>
  <c r="D208" i="8"/>
  <c r="C208" i="8"/>
  <c r="B208" i="8"/>
  <c r="A208" i="8"/>
  <c r="J207" i="8"/>
  <c r="D207" i="8"/>
  <c r="C207" i="8"/>
  <c r="B207" i="8"/>
  <c r="A207" i="8"/>
  <c r="J206" i="8"/>
  <c r="D206" i="8"/>
  <c r="C206" i="8"/>
  <c r="B206" i="8"/>
  <c r="A206" i="8"/>
  <c r="J205" i="8"/>
  <c r="D205" i="8"/>
  <c r="C205" i="8"/>
  <c r="B205" i="8"/>
  <c r="A205" i="8"/>
  <c r="J204" i="8"/>
  <c r="D204" i="8"/>
  <c r="C204" i="8"/>
  <c r="B204" i="8"/>
  <c r="A204" i="8"/>
  <c r="J203" i="8"/>
  <c r="D203" i="8"/>
  <c r="C203" i="8"/>
  <c r="B203" i="8"/>
  <c r="A203" i="8"/>
  <c r="J202" i="8"/>
  <c r="D202" i="8"/>
  <c r="C202" i="8"/>
  <c r="B202" i="8"/>
  <c r="A202" i="8"/>
  <c r="J201" i="8"/>
  <c r="D201" i="8"/>
  <c r="C201" i="8"/>
  <c r="B201" i="8"/>
  <c r="A201" i="8"/>
  <c r="J200" i="8"/>
  <c r="D200" i="8"/>
  <c r="C200" i="8"/>
  <c r="B200" i="8"/>
  <c r="A200" i="8"/>
  <c r="J199" i="8"/>
  <c r="D199" i="8"/>
  <c r="C199" i="8"/>
  <c r="B199" i="8"/>
  <c r="A199" i="8"/>
  <c r="J198" i="8"/>
  <c r="D198" i="8"/>
  <c r="C198" i="8"/>
  <c r="B198" i="8"/>
  <c r="A198" i="8"/>
  <c r="J197" i="8"/>
  <c r="D197" i="8"/>
  <c r="C197" i="8"/>
  <c r="B197" i="8"/>
  <c r="A197" i="8"/>
  <c r="J196" i="8"/>
  <c r="D196" i="8"/>
  <c r="C196" i="8"/>
  <c r="B196" i="8"/>
  <c r="A196" i="8"/>
  <c r="J195" i="8"/>
  <c r="D195" i="8"/>
  <c r="C195" i="8"/>
  <c r="B195" i="8"/>
  <c r="A195" i="8"/>
  <c r="J194" i="8"/>
  <c r="D194" i="8"/>
  <c r="C194" i="8"/>
  <c r="B194" i="8"/>
  <c r="A194" i="8"/>
  <c r="J193" i="8"/>
  <c r="D193" i="8"/>
  <c r="C193" i="8"/>
  <c r="B193" i="8"/>
  <c r="A193" i="8"/>
  <c r="J192" i="8"/>
  <c r="D192" i="8"/>
  <c r="C192" i="8"/>
  <c r="B192" i="8"/>
  <c r="A192" i="8"/>
  <c r="J191" i="8"/>
  <c r="D191" i="8"/>
  <c r="C191" i="8"/>
  <c r="B191" i="8"/>
  <c r="A191" i="8"/>
  <c r="J190" i="8"/>
  <c r="D190" i="8"/>
  <c r="C190" i="8"/>
  <c r="B190" i="8"/>
  <c r="A190" i="8"/>
  <c r="J189" i="8"/>
  <c r="D189" i="8"/>
  <c r="C189" i="8"/>
  <c r="B189" i="8"/>
  <c r="A189" i="8"/>
  <c r="J188" i="8"/>
  <c r="D188" i="8"/>
  <c r="C188" i="8"/>
  <c r="B188" i="8"/>
  <c r="A188" i="8"/>
  <c r="J187" i="8"/>
  <c r="D187" i="8"/>
  <c r="C187" i="8"/>
  <c r="B187" i="8"/>
  <c r="A187" i="8"/>
  <c r="J186" i="8"/>
  <c r="D186" i="8"/>
  <c r="C186" i="8"/>
  <c r="B186" i="8"/>
  <c r="A186" i="8"/>
  <c r="J185" i="8"/>
  <c r="D185" i="8"/>
  <c r="C185" i="8"/>
  <c r="B185" i="8"/>
  <c r="A185" i="8"/>
  <c r="J184" i="8"/>
  <c r="D184" i="8"/>
  <c r="C184" i="8"/>
  <c r="B184" i="8"/>
  <c r="A184" i="8"/>
  <c r="J183" i="8"/>
  <c r="D183" i="8"/>
  <c r="C183" i="8"/>
  <c r="B183" i="8"/>
  <c r="A183" i="8"/>
  <c r="J182" i="8"/>
  <c r="D182" i="8"/>
  <c r="C182" i="8"/>
  <c r="B182" i="8"/>
  <c r="A182" i="8"/>
  <c r="J181" i="8"/>
  <c r="D181" i="8"/>
  <c r="C181" i="8"/>
  <c r="B181" i="8"/>
  <c r="A181" i="8"/>
  <c r="J180" i="8"/>
  <c r="D180" i="8"/>
  <c r="C180" i="8"/>
  <c r="B180" i="8"/>
  <c r="A180" i="8"/>
  <c r="J179" i="8"/>
  <c r="D179" i="8"/>
  <c r="C179" i="8"/>
  <c r="B179" i="8"/>
  <c r="A179" i="8"/>
  <c r="J178" i="8"/>
  <c r="D178" i="8"/>
  <c r="C178" i="8"/>
  <c r="B178" i="8"/>
  <c r="A178" i="8"/>
  <c r="J177" i="8"/>
  <c r="D177" i="8"/>
  <c r="C177" i="8"/>
  <c r="B177" i="8"/>
  <c r="A177" i="8"/>
  <c r="J176" i="8"/>
  <c r="D176" i="8"/>
  <c r="C176" i="8"/>
  <c r="B176" i="8"/>
  <c r="A176" i="8"/>
  <c r="J175" i="8"/>
  <c r="D175" i="8"/>
  <c r="C175" i="8"/>
  <c r="B175" i="8"/>
  <c r="A175" i="8"/>
  <c r="J174" i="8"/>
  <c r="D174" i="8"/>
  <c r="C174" i="8"/>
  <c r="B174" i="8"/>
  <c r="A174" i="8"/>
  <c r="J173" i="8"/>
  <c r="D173" i="8"/>
  <c r="C173" i="8"/>
  <c r="B173" i="8"/>
  <c r="A173" i="8"/>
  <c r="J172" i="8"/>
  <c r="D172" i="8"/>
  <c r="C172" i="8"/>
  <c r="B172" i="8"/>
  <c r="A172" i="8"/>
  <c r="J171" i="8"/>
  <c r="D171" i="8"/>
  <c r="C171" i="8"/>
  <c r="B171" i="8"/>
  <c r="A171" i="8"/>
  <c r="J170" i="8"/>
  <c r="D170" i="8"/>
  <c r="C170" i="8"/>
  <c r="B170" i="8"/>
  <c r="A170" i="8"/>
  <c r="J169" i="8"/>
  <c r="D169" i="8"/>
  <c r="C169" i="8"/>
  <c r="B169" i="8"/>
  <c r="A169" i="8"/>
  <c r="J168" i="8"/>
  <c r="D168" i="8"/>
  <c r="C168" i="8"/>
  <c r="B168" i="8"/>
  <c r="A168" i="8"/>
  <c r="J167" i="8"/>
  <c r="D167" i="8"/>
  <c r="C167" i="8"/>
  <c r="B167" i="8"/>
  <c r="A167" i="8"/>
  <c r="J166" i="8"/>
  <c r="D166" i="8"/>
  <c r="C166" i="8"/>
  <c r="B166" i="8"/>
  <c r="A166" i="8"/>
  <c r="J165" i="8"/>
  <c r="D165" i="8"/>
  <c r="C165" i="8"/>
  <c r="B165" i="8"/>
  <c r="A165" i="8"/>
  <c r="J164" i="8"/>
  <c r="D164" i="8"/>
  <c r="C164" i="8"/>
  <c r="B164" i="8"/>
  <c r="A164" i="8"/>
  <c r="J163" i="8"/>
  <c r="D163" i="8"/>
  <c r="C163" i="8"/>
  <c r="B163" i="8"/>
  <c r="A163" i="8"/>
  <c r="J162" i="8"/>
  <c r="D162" i="8"/>
  <c r="C162" i="8"/>
  <c r="B162" i="8"/>
  <c r="A162" i="8"/>
  <c r="J161" i="8"/>
  <c r="D161" i="8"/>
  <c r="C161" i="8"/>
  <c r="B161" i="8"/>
  <c r="A161" i="8"/>
  <c r="J160" i="8"/>
  <c r="D160" i="8"/>
  <c r="C160" i="8"/>
  <c r="B160" i="8"/>
  <c r="A160" i="8"/>
  <c r="J159" i="8"/>
  <c r="D159" i="8"/>
  <c r="C159" i="8"/>
  <c r="B159" i="8"/>
  <c r="A159" i="8"/>
  <c r="J158" i="8"/>
  <c r="D158" i="8"/>
  <c r="C158" i="8"/>
  <c r="B158" i="8"/>
  <c r="A158" i="8"/>
  <c r="J157" i="8"/>
  <c r="D157" i="8"/>
  <c r="C157" i="8"/>
  <c r="B157" i="8"/>
  <c r="A157" i="8"/>
  <c r="J156" i="8"/>
  <c r="C156" i="8"/>
  <c r="A156" i="8"/>
  <c r="J155" i="8"/>
  <c r="D155" i="8"/>
  <c r="C155" i="8"/>
  <c r="B155" i="8"/>
  <c r="A155" i="8"/>
  <c r="J154" i="8"/>
  <c r="D154" i="8"/>
  <c r="C154" i="8"/>
  <c r="B154" i="8"/>
  <c r="A154" i="8"/>
  <c r="J153" i="8"/>
  <c r="D153" i="8"/>
  <c r="C153" i="8"/>
  <c r="B153" i="8"/>
  <c r="A153" i="8"/>
  <c r="J152" i="8"/>
  <c r="D152" i="8"/>
  <c r="C152" i="8"/>
  <c r="B152" i="8"/>
  <c r="A152" i="8"/>
  <c r="J151" i="8"/>
  <c r="D151" i="8"/>
  <c r="C151" i="8"/>
  <c r="B151" i="8"/>
  <c r="A151" i="8"/>
  <c r="J150" i="8"/>
  <c r="D150" i="8"/>
  <c r="C150" i="8"/>
  <c r="B150" i="8"/>
  <c r="A150" i="8"/>
  <c r="J149" i="8"/>
  <c r="D149" i="8"/>
  <c r="C149" i="8"/>
  <c r="B149" i="8"/>
  <c r="A149" i="8"/>
  <c r="J148" i="8"/>
  <c r="D148" i="8"/>
  <c r="C148" i="8"/>
  <c r="B148" i="8"/>
  <c r="A148" i="8"/>
  <c r="J147" i="8"/>
  <c r="D147" i="8"/>
  <c r="C147" i="8"/>
  <c r="B147" i="8"/>
  <c r="A147" i="8"/>
  <c r="J146" i="8"/>
  <c r="D146" i="8"/>
  <c r="C146" i="8"/>
  <c r="B146" i="8"/>
  <c r="A146" i="8"/>
  <c r="J145" i="8"/>
  <c r="D145" i="8"/>
  <c r="C145" i="8"/>
  <c r="B145" i="8"/>
  <c r="A145" i="8"/>
  <c r="J144" i="8"/>
  <c r="D144" i="8"/>
  <c r="C144" i="8"/>
  <c r="B144" i="8"/>
  <c r="A144" i="8"/>
  <c r="J143" i="8"/>
  <c r="D143" i="8"/>
  <c r="C143" i="8"/>
  <c r="B143" i="8"/>
  <c r="A143" i="8"/>
  <c r="J142" i="8"/>
  <c r="D142" i="8"/>
  <c r="C142" i="8"/>
  <c r="B142" i="8"/>
  <c r="A142" i="8"/>
  <c r="J141" i="8"/>
  <c r="D141" i="8"/>
  <c r="C141" i="8"/>
  <c r="B141" i="8"/>
  <c r="A141" i="8"/>
  <c r="J140" i="8"/>
  <c r="D140" i="8"/>
  <c r="C140" i="8"/>
  <c r="B140" i="8"/>
  <c r="A140" i="8"/>
  <c r="J139" i="8"/>
  <c r="D139" i="8"/>
  <c r="C139" i="8"/>
  <c r="B139" i="8"/>
  <c r="A139" i="8"/>
  <c r="J138" i="8"/>
  <c r="D138" i="8"/>
  <c r="C138" i="8"/>
  <c r="B138" i="8"/>
  <c r="A138" i="8"/>
  <c r="J137" i="8"/>
  <c r="D137" i="8"/>
  <c r="C137" i="8"/>
  <c r="B137" i="8"/>
  <c r="A137" i="8"/>
  <c r="J136" i="8"/>
  <c r="D136" i="8"/>
  <c r="C136" i="8"/>
  <c r="B136" i="8"/>
  <c r="A136" i="8"/>
  <c r="J135" i="8"/>
  <c r="D135" i="8"/>
  <c r="C135" i="8"/>
  <c r="B135" i="8"/>
  <c r="A135" i="8"/>
  <c r="J134" i="8"/>
  <c r="D134" i="8"/>
  <c r="C134" i="8"/>
  <c r="B134" i="8"/>
  <c r="A134" i="8"/>
  <c r="J133" i="8"/>
  <c r="D133" i="8"/>
  <c r="C133" i="8"/>
  <c r="B133" i="8"/>
  <c r="A133" i="8"/>
  <c r="J132" i="8"/>
  <c r="D132" i="8"/>
  <c r="C132" i="8"/>
  <c r="B132" i="8"/>
  <c r="A132" i="8"/>
  <c r="J131" i="8"/>
  <c r="D131" i="8"/>
  <c r="C131" i="8"/>
  <c r="B131" i="8"/>
  <c r="A131" i="8"/>
  <c r="J130" i="8"/>
  <c r="D130" i="8"/>
  <c r="C130" i="8"/>
  <c r="B130" i="8"/>
  <c r="A130" i="8"/>
  <c r="J129" i="8"/>
  <c r="D129" i="8"/>
  <c r="C129" i="8"/>
  <c r="B129" i="8"/>
  <c r="A129" i="8"/>
  <c r="J128" i="8"/>
  <c r="D128" i="8"/>
  <c r="C128" i="8"/>
  <c r="B128" i="8"/>
  <c r="A128" i="8"/>
  <c r="J127" i="8"/>
  <c r="D127" i="8"/>
  <c r="C127" i="8"/>
  <c r="B127" i="8"/>
  <c r="A127" i="8"/>
  <c r="J126" i="8"/>
  <c r="D126" i="8"/>
  <c r="C126" i="8"/>
  <c r="B126" i="8"/>
  <c r="A126" i="8"/>
  <c r="J125" i="8"/>
  <c r="D125" i="8"/>
  <c r="C125" i="8"/>
  <c r="B125" i="8"/>
  <c r="A125" i="8"/>
  <c r="J124" i="8"/>
  <c r="D124" i="8"/>
  <c r="C124" i="8"/>
  <c r="B124" i="8"/>
  <c r="A124" i="8"/>
  <c r="J123" i="8"/>
  <c r="D123" i="8"/>
  <c r="C123" i="8"/>
  <c r="B123" i="8"/>
  <c r="A123" i="8"/>
  <c r="J122" i="8"/>
  <c r="D122" i="8"/>
  <c r="C122" i="8"/>
  <c r="B122" i="8"/>
  <c r="A122" i="8"/>
  <c r="J121" i="8"/>
  <c r="D121" i="8"/>
  <c r="C121" i="8"/>
  <c r="B121" i="8"/>
  <c r="A121" i="8"/>
  <c r="J120" i="8"/>
  <c r="D120" i="8"/>
  <c r="C120" i="8"/>
  <c r="B120" i="8"/>
  <c r="A120" i="8"/>
  <c r="J119" i="8"/>
  <c r="D119" i="8"/>
  <c r="C119" i="8"/>
  <c r="B119" i="8"/>
  <c r="A119" i="8"/>
  <c r="J118" i="8"/>
  <c r="D118" i="8"/>
  <c r="C118" i="8"/>
  <c r="B118" i="8"/>
  <c r="A118" i="8"/>
  <c r="J117" i="8"/>
  <c r="D117" i="8"/>
  <c r="C117" i="8"/>
  <c r="B117" i="8"/>
  <c r="A117" i="8"/>
  <c r="J116" i="8"/>
  <c r="D116" i="8"/>
  <c r="C116" i="8"/>
  <c r="B116" i="8"/>
  <c r="A116" i="8"/>
  <c r="J115" i="8"/>
  <c r="D115" i="8"/>
  <c r="C115" i="8"/>
  <c r="B115" i="8"/>
  <c r="A115" i="8"/>
  <c r="J114" i="8"/>
  <c r="D114" i="8"/>
  <c r="C114" i="8"/>
  <c r="B114" i="8"/>
  <c r="A114" i="8"/>
  <c r="J113" i="8"/>
  <c r="D113" i="8"/>
  <c r="C113" i="8"/>
  <c r="B113" i="8"/>
  <c r="A113" i="8"/>
  <c r="J112" i="8"/>
  <c r="D112" i="8"/>
  <c r="C112" i="8"/>
  <c r="B112" i="8"/>
  <c r="A112" i="8"/>
  <c r="J111" i="8"/>
  <c r="D111" i="8"/>
  <c r="C111" i="8"/>
  <c r="B111" i="8"/>
  <c r="A111" i="8"/>
  <c r="J110" i="8"/>
  <c r="D110" i="8"/>
  <c r="C110" i="8"/>
  <c r="B110" i="8"/>
  <c r="A110" i="8"/>
  <c r="J109" i="8"/>
  <c r="D109" i="8"/>
  <c r="C109" i="8"/>
  <c r="B109" i="8"/>
  <c r="A109" i="8"/>
  <c r="J108" i="8"/>
  <c r="D108" i="8"/>
  <c r="C108" i="8"/>
  <c r="B108" i="8"/>
  <c r="A108" i="8"/>
  <c r="J107" i="8"/>
  <c r="D107" i="8"/>
  <c r="C107" i="8"/>
  <c r="B107" i="8"/>
  <c r="A107" i="8"/>
  <c r="J106" i="8"/>
  <c r="D106" i="8"/>
  <c r="C106" i="8"/>
  <c r="B106" i="8"/>
  <c r="A106" i="8"/>
  <c r="J105" i="8"/>
  <c r="D105" i="8"/>
  <c r="C105" i="8"/>
  <c r="B105" i="8"/>
  <c r="A105" i="8"/>
  <c r="J104" i="8"/>
  <c r="D104" i="8"/>
  <c r="C104" i="8"/>
  <c r="B104" i="8"/>
  <c r="A104" i="8"/>
  <c r="J103" i="8"/>
  <c r="D103" i="8"/>
  <c r="C103" i="8"/>
  <c r="B103" i="8"/>
  <c r="A103" i="8"/>
  <c r="J102" i="8"/>
  <c r="D102" i="8"/>
  <c r="C102" i="8"/>
  <c r="B102" i="8"/>
  <c r="A102" i="8"/>
  <c r="J101" i="8"/>
  <c r="D101" i="8"/>
  <c r="C101" i="8"/>
  <c r="B101" i="8"/>
  <c r="A101" i="8"/>
  <c r="J100" i="8"/>
  <c r="D100" i="8"/>
  <c r="C100" i="8"/>
  <c r="B100" i="8"/>
  <c r="A100" i="8"/>
  <c r="J99" i="8"/>
  <c r="D99" i="8"/>
  <c r="C99" i="8"/>
  <c r="B99" i="8"/>
  <c r="A99" i="8"/>
  <c r="J98" i="8"/>
  <c r="D98" i="8"/>
  <c r="C98" i="8"/>
  <c r="B98" i="8"/>
  <c r="A98" i="8"/>
  <c r="J97" i="8"/>
  <c r="D97" i="8"/>
  <c r="C97" i="8"/>
  <c r="B97" i="8"/>
  <c r="A97" i="8"/>
  <c r="J96" i="8"/>
  <c r="D96" i="8"/>
  <c r="C96" i="8"/>
  <c r="B96" i="8"/>
  <c r="A96" i="8"/>
  <c r="J95" i="8"/>
  <c r="D95" i="8"/>
  <c r="C95" i="8"/>
  <c r="B95" i="8"/>
  <c r="A95" i="8"/>
  <c r="J94" i="8"/>
  <c r="D94" i="8"/>
  <c r="C94" i="8"/>
  <c r="B94" i="8"/>
  <c r="A94" i="8"/>
  <c r="J93" i="8"/>
  <c r="D93" i="8"/>
  <c r="C93" i="8"/>
  <c r="B93" i="8"/>
  <c r="A93" i="8"/>
  <c r="J92" i="8"/>
  <c r="D92" i="8"/>
  <c r="C92" i="8"/>
  <c r="B92" i="8"/>
  <c r="A92" i="8"/>
  <c r="J91" i="8"/>
  <c r="D91" i="8"/>
  <c r="C91" i="8"/>
  <c r="B91" i="8"/>
  <c r="A91" i="8"/>
  <c r="J90" i="8"/>
  <c r="D90" i="8"/>
  <c r="C90" i="8"/>
  <c r="B90" i="8"/>
  <c r="A90" i="8"/>
  <c r="J89" i="8"/>
  <c r="D89" i="8"/>
  <c r="C89" i="8"/>
  <c r="B89" i="8"/>
  <c r="A89" i="8"/>
  <c r="J88" i="8"/>
  <c r="D88" i="8"/>
  <c r="C88" i="8"/>
  <c r="B88" i="8"/>
  <c r="A88" i="8"/>
  <c r="J87" i="8"/>
  <c r="D87" i="8"/>
  <c r="C87" i="8"/>
  <c r="B87" i="8"/>
  <c r="A87" i="8"/>
  <c r="J86" i="8"/>
  <c r="D86" i="8"/>
  <c r="C86" i="8"/>
  <c r="B86" i="8"/>
  <c r="A86" i="8"/>
  <c r="J85" i="8"/>
  <c r="D85" i="8"/>
  <c r="C85" i="8"/>
  <c r="B85" i="8"/>
  <c r="A85" i="8"/>
  <c r="J84" i="8"/>
  <c r="D84" i="8"/>
  <c r="C84" i="8"/>
  <c r="B84" i="8"/>
  <c r="A84" i="8"/>
  <c r="J83" i="8"/>
  <c r="D83" i="8"/>
  <c r="C83" i="8"/>
  <c r="B83" i="8"/>
  <c r="A83" i="8"/>
  <c r="J82" i="8"/>
  <c r="D82" i="8"/>
  <c r="C82" i="8"/>
  <c r="B82" i="8"/>
  <c r="A82" i="8"/>
  <c r="J81" i="8"/>
  <c r="D81" i="8"/>
  <c r="C81" i="8"/>
  <c r="B81" i="8"/>
  <c r="A81" i="8"/>
  <c r="J80" i="8"/>
  <c r="D80" i="8"/>
  <c r="C80" i="8"/>
  <c r="B80" i="8"/>
  <c r="A80" i="8"/>
  <c r="J79" i="8"/>
  <c r="J78" i="8"/>
  <c r="D78" i="8"/>
  <c r="C78" i="8"/>
  <c r="B78" i="8"/>
  <c r="A78" i="8"/>
  <c r="J77" i="8"/>
  <c r="D77" i="8"/>
  <c r="C77" i="8"/>
  <c r="B77" i="8"/>
  <c r="A77" i="8"/>
  <c r="J76" i="8"/>
  <c r="D76" i="8"/>
  <c r="C76" i="8"/>
  <c r="B76" i="8"/>
  <c r="A76" i="8"/>
  <c r="J75" i="8"/>
  <c r="D75" i="8"/>
  <c r="C75" i="8"/>
  <c r="B75" i="8"/>
  <c r="A75" i="8"/>
  <c r="J74" i="8"/>
  <c r="D74" i="8"/>
  <c r="C74" i="8"/>
  <c r="B74" i="8"/>
  <c r="A74" i="8"/>
  <c r="J73" i="8"/>
  <c r="D73" i="8"/>
  <c r="C73" i="8"/>
  <c r="B73" i="8"/>
  <c r="A73" i="8"/>
  <c r="J72" i="8"/>
  <c r="D72" i="8"/>
  <c r="C72" i="8"/>
  <c r="B72" i="8"/>
  <c r="A72" i="8"/>
  <c r="J71" i="8"/>
  <c r="D71" i="8"/>
  <c r="C71" i="8"/>
  <c r="B71" i="8"/>
  <c r="A71" i="8"/>
  <c r="J70" i="8"/>
  <c r="D70" i="8"/>
  <c r="C70" i="8"/>
  <c r="B70" i="8"/>
  <c r="A70" i="8"/>
  <c r="J69" i="8"/>
  <c r="D69" i="8"/>
  <c r="C69" i="8"/>
  <c r="B69" i="8"/>
  <c r="A69" i="8"/>
  <c r="J68" i="8"/>
  <c r="D68" i="8"/>
  <c r="C68" i="8"/>
  <c r="B68" i="8"/>
  <c r="A68" i="8"/>
  <c r="J67" i="8"/>
  <c r="D67" i="8"/>
  <c r="C67" i="8"/>
  <c r="B67" i="8"/>
  <c r="A67" i="8"/>
  <c r="J66" i="8"/>
  <c r="D66" i="8"/>
  <c r="C66" i="8"/>
  <c r="B66" i="8"/>
  <c r="A66" i="8"/>
  <c r="J65" i="8"/>
  <c r="D65" i="8"/>
  <c r="C65" i="8"/>
  <c r="B65" i="8"/>
  <c r="A65" i="8"/>
  <c r="J64" i="8"/>
  <c r="D64" i="8"/>
  <c r="C64" i="8"/>
  <c r="B64" i="8"/>
  <c r="A64" i="8"/>
  <c r="J63" i="8"/>
  <c r="D63" i="8"/>
  <c r="C63" i="8"/>
  <c r="B63" i="8"/>
  <c r="A63" i="8"/>
  <c r="J62" i="8"/>
  <c r="D62" i="8"/>
  <c r="C62" i="8"/>
  <c r="B62" i="8"/>
  <c r="A62" i="8"/>
  <c r="J61" i="8"/>
  <c r="D61" i="8"/>
  <c r="C61" i="8"/>
  <c r="B61" i="8"/>
  <c r="A61" i="8"/>
  <c r="J60" i="8"/>
  <c r="D60" i="8"/>
  <c r="C60" i="8"/>
  <c r="B60" i="8"/>
  <c r="A60" i="8"/>
  <c r="J59" i="8"/>
  <c r="D59" i="8"/>
  <c r="C59" i="8"/>
  <c r="B59" i="8"/>
  <c r="A59" i="8"/>
  <c r="J58" i="8"/>
  <c r="D58" i="8"/>
  <c r="C58" i="8"/>
  <c r="B58" i="8"/>
  <c r="A58" i="8"/>
  <c r="J57" i="8"/>
  <c r="D57" i="8"/>
  <c r="C57" i="8"/>
  <c r="B57" i="8"/>
  <c r="A57" i="8"/>
  <c r="J56" i="8"/>
  <c r="D56" i="8"/>
  <c r="C56" i="8"/>
  <c r="B56" i="8"/>
  <c r="A56" i="8"/>
  <c r="J55" i="8"/>
  <c r="D55" i="8"/>
  <c r="C55" i="8"/>
  <c r="B55" i="8"/>
  <c r="A55" i="8"/>
  <c r="J54" i="8"/>
  <c r="D54" i="8"/>
  <c r="C54" i="8"/>
  <c r="B54" i="8"/>
  <c r="A54" i="8"/>
  <c r="J53" i="8"/>
  <c r="D53" i="8"/>
  <c r="C53" i="8"/>
  <c r="B53" i="8"/>
  <c r="A53" i="8"/>
  <c r="J52" i="8"/>
  <c r="D52" i="8"/>
  <c r="C52" i="8"/>
  <c r="B52" i="8"/>
  <c r="A52" i="8"/>
  <c r="J51" i="8"/>
  <c r="D51" i="8"/>
  <c r="C51" i="8"/>
  <c r="B51" i="8"/>
  <c r="A51" i="8"/>
  <c r="J50" i="8"/>
  <c r="D50" i="8"/>
  <c r="C50" i="8"/>
  <c r="B50" i="8"/>
  <c r="A50" i="8"/>
  <c r="J49" i="8"/>
  <c r="D49" i="8"/>
  <c r="C49" i="8"/>
  <c r="B49" i="8"/>
  <c r="A49" i="8"/>
  <c r="J48" i="8"/>
  <c r="D48" i="8"/>
  <c r="C48" i="8"/>
  <c r="B48" i="8"/>
  <c r="A48" i="8"/>
  <c r="J47" i="8"/>
  <c r="D47" i="8"/>
  <c r="C47" i="8"/>
  <c r="B47" i="8"/>
  <c r="A47" i="8"/>
  <c r="J46" i="8"/>
  <c r="F42" i="8" s="1"/>
  <c r="D46" i="8"/>
  <c r="C46" i="8"/>
  <c r="B46" i="8"/>
  <c r="A46" i="8"/>
  <c r="J45" i="8"/>
  <c r="D45" i="8"/>
  <c r="C45" i="8"/>
  <c r="B45" i="8"/>
  <c r="A45" i="8"/>
  <c r="J44" i="8"/>
  <c r="C44" i="8"/>
  <c r="A44" i="8"/>
  <c r="C41" i="8"/>
  <c r="F40" i="8"/>
  <c r="C40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E6" i="3" s="1"/>
  <c r="H25" i="8"/>
  <c r="H24" i="8"/>
  <c r="H23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40" i="8" s="1"/>
  <c r="H8" i="8"/>
  <c r="H7" i="8"/>
  <c r="H6" i="8"/>
  <c r="H5" i="8"/>
  <c r="H4" i="8"/>
  <c r="H3" i="8"/>
  <c r="D237" i="7"/>
  <c r="C237" i="7"/>
  <c r="B237" i="7"/>
  <c r="A237" i="7"/>
  <c r="D236" i="7"/>
  <c r="C236" i="7"/>
  <c r="B236" i="7"/>
  <c r="A236" i="7"/>
  <c r="D235" i="7"/>
  <c r="C235" i="7"/>
  <c r="B235" i="7"/>
  <c r="A235" i="7"/>
  <c r="D234" i="7"/>
  <c r="C234" i="7"/>
  <c r="B234" i="7"/>
  <c r="A234" i="7"/>
  <c r="D233" i="7"/>
  <c r="C233" i="7"/>
  <c r="B233" i="7"/>
  <c r="A233" i="7"/>
  <c r="D232" i="7"/>
  <c r="C232" i="7"/>
  <c r="B232" i="7"/>
  <c r="A232" i="7"/>
  <c r="D231" i="7"/>
  <c r="C231" i="7"/>
  <c r="B231" i="7"/>
  <c r="A231" i="7"/>
  <c r="D230" i="7"/>
  <c r="C230" i="7"/>
  <c r="B230" i="7"/>
  <c r="A230" i="7"/>
  <c r="D229" i="7"/>
  <c r="C229" i="7"/>
  <c r="B229" i="7"/>
  <c r="A229" i="7"/>
  <c r="D228" i="7"/>
  <c r="C228" i="7"/>
  <c r="B228" i="7"/>
  <c r="A228" i="7"/>
  <c r="D227" i="7"/>
  <c r="C227" i="7"/>
  <c r="B227" i="7"/>
  <c r="A227" i="7"/>
  <c r="D226" i="7"/>
  <c r="C226" i="7"/>
  <c r="B226" i="7"/>
  <c r="A226" i="7"/>
  <c r="D225" i="7"/>
  <c r="C225" i="7"/>
  <c r="B225" i="7"/>
  <c r="A225" i="7"/>
  <c r="D224" i="7"/>
  <c r="C224" i="7"/>
  <c r="B224" i="7"/>
  <c r="A224" i="7"/>
  <c r="D223" i="7"/>
  <c r="C223" i="7"/>
  <c r="B223" i="7"/>
  <c r="A223" i="7"/>
  <c r="D222" i="7"/>
  <c r="C222" i="7"/>
  <c r="B222" i="7"/>
  <c r="A222" i="7"/>
  <c r="D221" i="7"/>
  <c r="C221" i="7"/>
  <c r="B221" i="7"/>
  <c r="A221" i="7"/>
  <c r="D220" i="7"/>
  <c r="C220" i="7"/>
  <c r="B220" i="7"/>
  <c r="A220" i="7"/>
  <c r="D219" i="7"/>
  <c r="C219" i="7"/>
  <c r="B219" i="7"/>
  <c r="A219" i="7"/>
  <c r="D218" i="7"/>
  <c r="C218" i="7"/>
  <c r="B218" i="7"/>
  <c r="A218" i="7"/>
  <c r="D217" i="7"/>
  <c r="C217" i="7"/>
  <c r="B217" i="7"/>
  <c r="A217" i="7"/>
  <c r="D216" i="7"/>
  <c r="C216" i="7"/>
  <c r="B216" i="7"/>
  <c r="A216" i="7"/>
  <c r="D215" i="7"/>
  <c r="C215" i="7"/>
  <c r="B215" i="7"/>
  <c r="A215" i="7"/>
  <c r="J214" i="7"/>
  <c r="D214" i="7"/>
  <c r="C214" i="7"/>
  <c r="B214" i="7"/>
  <c r="A214" i="7"/>
  <c r="J213" i="7"/>
  <c r="D213" i="7"/>
  <c r="C213" i="7"/>
  <c r="B213" i="7"/>
  <c r="A213" i="7"/>
  <c r="J212" i="7"/>
  <c r="D212" i="7"/>
  <c r="C212" i="7"/>
  <c r="B212" i="7"/>
  <c r="A212" i="7"/>
  <c r="J211" i="7"/>
  <c r="D211" i="7"/>
  <c r="C211" i="7"/>
  <c r="B211" i="7"/>
  <c r="A211" i="7"/>
  <c r="J210" i="7"/>
  <c r="D210" i="7"/>
  <c r="C210" i="7"/>
  <c r="B210" i="7"/>
  <c r="A210" i="7"/>
  <c r="J209" i="7"/>
  <c r="D209" i="7"/>
  <c r="C209" i="7"/>
  <c r="B209" i="7"/>
  <c r="A209" i="7"/>
  <c r="J208" i="7"/>
  <c r="D208" i="7"/>
  <c r="C208" i="7"/>
  <c r="B208" i="7"/>
  <c r="A208" i="7"/>
  <c r="J207" i="7"/>
  <c r="D207" i="7"/>
  <c r="C207" i="7"/>
  <c r="B207" i="7"/>
  <c r="A207" i="7"/>
  <c r="J206" i="7"/>
  <c r="D206" i="7"/>
  <c r="C206" i="7"/>
  <c r="B206" i="7"/>
  <c r="A206" i="7"/>
  <c r="J205" i="7"/>
  <c r="D205" i="7"/>
  <c r="C205" i="7"/>
  <c r="B205" i="7"/>
  <c r="A205" i="7"/>
  <c r="J204" i="7"/>
  <c r="D204" i="7"/>
  <c r="C204" i="7"/>
  <c r="B204" i="7"/>
  <c r="A204" i="7"/>
  <c r="J203" i="7"/>
  <c r="D203" i="7"/>
  <c r="C203" i="7"/>
  <c r="B203" i="7"/>
  <c r="A203" i="7"/>
  <c r="J202" i="7"/>
  <c r="D202" i="7"/>
  <c r="C202" i="7"/>
  <c r="B202" i="7"/>
  <c r="A202" i="7"/>
  <c r="J201" i="7"/>
  <c r="D201" i="7"/>
  <c r="C201" i="7"/>
  <c r="B201" i="7"/>
  <c r="A201" i="7"/>
  <c r="J200" i="7"/>
  <c r="D200" i="7"/>
  <c r="C200" i="7"/>
  <c r="B200" i="7"/>
  <c r="A200" i="7"/>
  <c r="J199" i="7"/>
  <c r="D199" i="7"/>
  <c r="C199" i="7"/>
  <c r="B199" i="7"/>
  <c r="A199" i="7"/>
  <c r="J198" i="7"/>
  <c r="D198" i="7"/>
  <c r="C198" i="7"/>
  <c r="B198" i="7"/>
  <c r="A198" i="7"/>
  <c r="J197" i="7"/>
  <c r="D197" i="7"/>
  <c r="C197" i="7"/>
  <c r="B197" i="7"/>
  <c r="A197" i="7"/>
  <c r="J196" i="7"/>
  <c r="D196" i="7"/>
  <c r="C196" i="7"/>
  <c r="B196" i="7"/>
  <c r="A196" i="7"/>
  <c r="J195" i="7"/>
  <c r="D195" i="7"/>
  <c r="C195" i="7"/>
  <c r="B195" i="7"/>
  <c r="A195" i="7"/>
  <c r="J194" i="7"/>
  <c r="D194" i="7"/>
  <c r="C194" i="7"/>
  <c r="B194" i="7"/>
  <c r="A194" i="7"/>
  <c r="J193" i="7"/>
  <c r="D193" i="7"/>
  <c r="C193" i="7"/>
  <c r="B193" i="7"/>
  <c r="A193" i="7"/>
  <c r="J192" i="7"/>
  <c r="D192" i="7"/>
  <c r="C192" i="7"/>
  <c r="B192" i="7"/>
  <c r="A192" i="7"/>
  <c r="J191" i="7"/>
  <c r="D191" i="7"/>
  <c r="C191" i="7"/>
  <c r="B191" i="7"/>
  <c r="A191" i="7"/>
  <c r="J190" i="7"/>
  <c r="D190" i="7"/>
  <c r="C190" i="7"/>
  <c r="B190" i="7"/>
  <c r="A190" i="7"/>
  <c r="J189" i="7"/>
  <c r="D189" i="7"/>
  <c r="C189" i="7"/>
  <c r="B189" i="7"/>
  <c r="A189" i="7"/>
  <c r="J188" i="7"/>
  <c r="D188" i="7"/>
  <c r="C188" i="7"/>
  <c r="B188" i="7"/>
  <c r="A188" i="7"/>
  <c r="J187" i="7"/>
  <c r="D187" i="7"/>
  <c r="C187" i="7"/>
  <c r="B187" i="7"/>
  <c r="A187" i="7"/>
  <c r="J186" i="7"/>
  <c r="D186" i="7"/>
  <c r="C186" i="7"/>
  <c r="B186" i="7"/>
  <c r="A186" i="7"/>
  <c r="J185" i="7"/>
  <c r="D185" i="7"/>
  <c r="C185" i="7"/>
  <c r="B185" i="7"/>
  <c r="A185" i="7"/>
  <c r="J184" i="7"/>
  <c r="D184" i="7"/>
  <c r="C184" i="7"/>
  <c r="B184" i="7"/>
  <c r="A184" i="7"/>
  <c r="J183" i="7"/>
  <c r="D183" i="7"/>
  <c r="C183" i="7"/>
  <c r="B183" i="7"/>
  <c r="A183" i="7"/>
  <c r="J182" i="7"/>
  <c r="D182" i="7"/>
  <c r="C182" i="7"/>
  <c r="B182" i="7"/>
  <c r="A182" i="7"/>
  <c r="J181" i="7"/>
  <c r="D181" i="7"/>
  <c r="C181" i="7"/>
  <c r="B181" i="7"/>
  <c r="A181" i="7"/>
  <c r="J180" i="7"/>
  <c r="D180" i="7"/>
  <c r="C180" i="7"/>
  <c r="B180" i="7"/>
  <c r="A180" i="7"/>
  <c r="J179" i="7"/>
  <c r="D179" i="7"/>
  <c r="C179" i="7"/>
  <c r="B179" i="7"/>
  <c r="A179" i="7"/>
  <c r="J178" i="7"/>
  <c r="D178" i="7"/>
  <c r="C178" i="7"/>
  <c r="B178" i="7"/>
  <c r="A178" i="7"/>
  <c r="J177" i="7"/>
  <c r="D177" i="7"/>
  <c r="C177" i="7"/>
  <c r="B177" i="7"/>
  <c r="A177" i="7"/>
  <c r="J176" i="7"/>
  <c r="D176" i="7"/>
  <c r="C176" i="7"/>
  <c r="B176" i="7"/>
  <c r="A176" i="7"/>
  <c r="J175" i="7"/>
  <c r="D175" i="7"/>
  <c r="C175" i="7"/>
  <c r="B175" i="7"/>
  <c r="A175" i="7"/>
  <c r="J174" i="7"/>
  <c r="D174" i="7"/>
  <c r="C174" i="7"/>
  <c r="B174" i="7"/>
  <c r="A174" i="7"/>
  <c r="J173" i="7"/>
  <c r="D173" i="7"/>
  <c r="C173" i="7"/>
  <c r="B173" i="7"/>
  <c r="A173" i="7"/>
  <c r="J172" i="7"/>
  <c r="D172" i="7"/>
  <c r="C172" i="7"/>
  <c r="B172" i="7"/>
  <c r="A172" i="7"/>
  <c r="J171" i="7"/>
  <c r="D171" i="7"/>
  <c r="C171" i="7"/>
  <c r="B171" i="7"/>
  <c r="A171" i="7"/>
  <c r="J170" i="7"/>
  <c r="D170" i="7"/>
  <c r="C170" i="7"/>
  <c r="B170" i="7"/>
  <c r="A170" i="7"/>
  <c r="J169" i="7"/>
  <c r="D169" i="7"/>
  <c r="C169" i="7"/>
  <c r="B169" i="7"/>
  <c r="A169" i="7"/>
  <c r="J168" i="7"/>
  <c r="D168" i="7"/>
  <c r="C168" i="7"/>
  <c r="B168" i="7"/>
  <c r="A168" i="7"/>
  <c r="J167" i="7"/>
  <c r="D167" i="7"/>
  <c r="C167" i="7"/>
  <c r="B167" i="7"/>
  <c r="A167" i="7"/>
  <c r="J166" i="7"/>
  <c r="D166" i="7"/>
  <c r="C166" i="7"/>
  <c r="B166" i="7"/>
  <c r="A166" i="7"/>
  <c r="J165" i="7"/>
  <c r="D165" i="7"/>
  <c r="C165" i="7"/>
  <c r="B165" i="7"/>
  <c r="A165" i="7"/>
  <c r="J164" i="7"/>
  <c r="D164" i="7"/>
  <c r="C164" i="7"/>
  <c r="B164" i="7"/>
  <c r="A164" i="7"/>
  <c r="J163" i="7"/>
  <c r="D163" i="7"/>
  <c r="C163" i="7"/>
  <c r="B163" i="7"/>
  <c r="A163" i="7"/>
  <c r="J162" i="7"/>
  <c r="D162" i="7"/>
  <c r="C162" i="7"/>
  <c r="B162" i="7"/>
  <c r="A162" i="7"/>
  <c r="J161" i="7"/>
  <c r="D161" i="7"/>
  <c r="C161" i="7"/>
  <c r="B161" i="7"/>
  <c r="A161" i="7"/>
  <c r="J160" i="7"/>
  <c r="D160" i="7"/>
  <c r="C160" i="7"/>
  <c r="B160" i="7"/>
  <c r="A160" i="7"/>
  <c r="J159" i="7"/>
  <c r="D159" i="7"/>
  <c r="C159" i="7"/>
  <c r="B159" i="7"/>
  <c r="A159" i="7"/>
  <c r="J158" i="7"/>
  <c r="D158" i="7"/>
  <c r="C158" i="7"/>
  <c r="B158" i="7"/>
  <c r="A158" i="7"/>
  <c r="J157" i="7"/>
  <c r="D157" i="7"/>
  <c r="C157" i="7"/>
  <c r="B157" i="7"/>
  <c r="A157" i="7"/>
  <c r="J156" i="7"/>
  <c r="C156" i="7"/>
  <c r="A156" i="7"/>
  <c r="J155" i="7"/>
  <c r="D155" i="7"/>
  <c r="C155" i="7"/>
  <c r="B155" i="7"/>
  <c r="A155" i="7"/>
  <c r="J154" i="7"/>
  <c r="D154" i="7"/>
  <c r="C154" i="7"/>
  <c r="B154" i="7"/>
  <c r="A154" i="7"/>
  <c r="J153" i="7"/>
  <c r="D153" i="7"/>
  <c r="C153" i="7"/>
  <c r="B153" i="7"/>
  <c r="A153" i="7"/>
  <c r="J152" i="7"/>
  <c r="D152" i="7"/>
  <c r="C152" i="7"/>
  <c r="B152" i="7"/>
  <c r="A152" i="7"/>
  <c r="J151" i="7"/>
  <c r="D151" i="7"/>
  <c r="C151" i="7"/>
  <c r="B151" i="7"/>
  <c r="A151" i="7"/>
  <c r="J150" i="7"/>
  <c r="D150" i="7"/>
  <c r="C150" i="7"/>
  <c r="B150" i="7"/>
  <c r="A150" i="7"/>
  <c r="J149" i="7"/>
  <c r="D149" i="7"/>
  <c r="C149" i="7"/>
  <c r="B149" i="7"/>
  <c r="A149" i="7"/>
  <c r="J148" i="7"/>
  <c r="D148" i="7"/>
  <c r="C148" i="7"/>
  <c r="B148" i="7"/>
  <c r="A148" i="7"/>
  <c r="J147" i="7"/>
  <c r="D147" i="7"/>
  <c r="C147" i="7"/>
  <c r="B147" i="7"/>
  <c r="A147" i="7"/>
  <c r="J146" i="7"/>
  <c r="D146" i="7"/>
  <c r="C146" i="7"/>
  <c r="B146" i="7"/>
  <c r="A146" i="7"/>
  <c r="J145" i="7"/>
  <c r="D145" i="7"/>
  <c r="C145" i="7"/>
  <c r="B145" i="7"/>
  <c r="A145" i="7"/>
  <c r="J144" i="7"/>
  <c r="D144" i="7"/>
  <c r="C144" i="7"/>
  <c r="B144" i="7"/>
  <c r="A144" i="7"/>
  <c r="J143" i="7"/>
  <c r="D143" i="7"/>
  <c r="C143" i="7"/>
  <c r="B143" i="7"/>
  <c r="A143" i="7"/>
  <c r="J142" i="7"/>
  <c r="D142" i="7"/>
  <c r="C142" i="7"/>
  <c r="B142" i="7"/>
  <c r="A142" i="7"/>
  <c r="J141" i="7"/>
  <c r="D141" i="7"/>
  <c r="C141" i="7"/>
  <c r="B141" i="7"/>
  <c r="A141" i="7"/>
  <c r="J140" i="7"/>
  <c r="D140" i="7"/>
  <c r="C140" i="7"/>
  <c r="B140" i="7"/>
  <c r="A140" i="7"/>
  <c r="J139" i="7"/>
  <c r="D139" i="7"/>
  <c r="C139" i="7"/>
  <c r="B139" i="7"/>
  <c r="A139" i="7"/>
  <c r="J138" i="7"/>
  <c r="D138" i="7"/>
  <c r="C138" i="7"/>
  <c r="B138" i="7"/>
  <c r="A138" i="7"/>
  <c r="J137" i="7"/>
  <c r="D137" i="7"/>
  <c r="C137" i="7"/>
  <c r="B137" i="7"/>
  <c r="A137" i="7"/>
  <c r="J136" i="7"/>
  <c r="D136" i="7"/>
  <c r="C136" i="7"/>
  <c r="B136" i="7"/>
  <c r="A136" i="7"/>
  <c r="J135" i="7"/>
  <c r="D135" i="7"/>
  <c r="C135" i="7"/>
  <c r="B135" i="7"/>
  <c r="A135" i="7"/>
  <c r="J134" i="7"/>
  <c r="D134" i="7"/>
  <c r="C134" i="7"/>
  <c r="B134" i="7"/>
  <c r="A134" i="7"/>
  <c r="J133" i="7"/>
  <c r="D133" i="7"/>
  <c r="C133" i="7"/>
  <c r="B133" i="7"/>
  <c r="A133" i="7"/>
  <c r="J132" i="7"/>
  <c r="D132" i="7"/>
  <c r="C132" i="7"/>
  <c r="B132" i="7"/>
  <c r="A132" i="7"/>
  <c r="J131" i="7"/>
  <c r="D131" i="7"/>
  <c r="C131" i="7"/>
  <c r="B131" i="7"/>
  <c r="A131" i="7"/>
  <c r="J130" i="7"/>
  <c r="D130" i="7"/>
  <c r="C130" i="7"/>
  <c r="B130" i="7"/>
  <c r="A130" i="7"/>
  <c r="J129" i="7"/>
  <c r="D129" i="7"/>
  <c r="C129" i="7"/>
  <c r="B129" i="7"/>
  <c r="A129" i="7"/>
  <c r="J128" i="7"/>
  <c r="D128" i="7"/>
  <c r="C128" i="7"/>
  <c r="B128" i="7"/>
  <c r="A128" i="7"/>
  <c r="J127" i="7"/>
  <c r="D127" i="7"/>
  <c r="C127" i="7"/>
  <c r="B127" i="7"/>
  <c r="A127" i="7"/>
  <c r="J126" i="7"/>
  <c r="D126" i="7"/>
  <c r="C126" i="7"/>
  <c r="B126" i="7"/>
  <c r="A126" i="7"/>
  <c r="J125" i="7"/>
  <c r="D125" i="7"/>
  <c r="C125" i="7"/>
  <c r="B125" i="7"/>
  <c r="A125" i="7"/>
  <c r="J124" i="7"/>
  <c r="D124" i="7"/>
  <c r="C124" i="7"/>
  <c r="B124" i="7"/>
  <c r="A124" i="7"/>
  <c r="J123" i="7"/>
  <c r="D123" i="7"/>
  <c r="C123" i="7"/>
  <c r="B123" i="7"/>
  <c r="A123" i="7"/>
  <c r="J122" i="7"/>
  <c r="D122" i="7"/>
  <c r="C122" i="7"/>
  <c r="B122" i="7"/>
  <c r="A122" i="7"/>
  <c r="J121" i="7"/>
  <c r="D121" i="7"/>
  <c r="C121" i="7"/>
  <c r="B121" i="7"/>
  <c r="A121" i="7"/>
  <c r="J120" i="7"/>
  <c r="D120" i="7"/>
  <c r="C120" i="7"/>
  <c r="B120" i="7"/>
  <c r="A120" i="7"/>
  <c r="J119" i="7"/>
  <c r="D119" i="7"/>
  <c r="C119" i="7"/>
  <c r="B119" i="7"/>
  <c r="A119" i="7"/>
  <c r="J118" i="7"/>
  <c r="D118" i="7"/>
  <c r="C118" i="7"/>
  <c r="B118" i="7"/>
  <c r="A118" i="7"/>
  <c r="J117" i="7"/>
  <c r="D117" i="7"/>
  <c r="C117" i="7"/>
  <c r="B117" i="7"/>
  <c r="A117" i="7"/>
  <c r="J116" i="7"/>
  <c r="D116" i="7"/>
  <c r="C116" i="7"/>
  <c r="B116" i="7"/>
  <c r="A116" i="7"/>
  <c r="J115" i="7"/>
  <c r="D115" i="7"/>
  <c r="C115" i="7"/>
  <c r="B115" i="7"/>
  <c r="A115" i="7"/>
  <c r="J114" i="7"/>
  <c r="D114" i="7"/>
  <c r="C114" i="7"/>
  <c r="B114" i="7"/>
  <c r="A114" i="7"/>
  <c r="J113" i="7"/>
  <c r="D113" i="7"/>
  <c r="C113" i="7"/>
  <c r="B113" i="7"/>
  <c r="A113" i="7"/>
  <c r="J112" i="7"/>
  <c r="D112" i="7"/>
  <c r="C112" i="7"/>
  <c r="B112" i="7"/>
  <c r="A112" i="7"/>
  <c r="J111" i="7"/>
  <c r="D111" i="7"/>
  <c r="C111" i="7"/>
  <c r="B111" i="7"/>
  <c r="A111" i="7"/>
  <c r="J110" i="7"/>
  <c r="D110" i="7"/>
  <c r="C110" i="7"/>
  <c r="B110" i="7"/>
  <c r="A110" i="7"/>
  <c r="J109" i="7"/>
  <c r="D109" i="7"/>
  <c r="C109" i="7"/>
  <c r="B109" i="7"/>
  <c r="A109" i="7"/>
  <c r="J108" i="7"/>
  <c r="D108" i="7"/>
  <c r="C108" i="7"/>
  <c r="B108" i="7"/>
  <c r="A108" i="7"/>
  <c r="J107" i="7"/>
  <c r="D107" i="7"/>
  <c r="C107" i="7"/>
  <c r="B107" i="7"/>
  <c r="A107" i="7"/>
  <c r="J106" i="7"/>
  <c r="D106" i="7"/>
  <c r="C106" i="7"/>
  <c r="B106" i="7"/>
  <c r="A106" i="7"/>
  <c r="J105" i="7"/>
  <c r="D105" i="7"/>
  <c r="C105" i="7"/>
  <c r="B105" i="7"/>
  <c r="A105" i="7"/>
  <c r="J104" i="7"/>
  <c r="D104" i="7"/>
  <c r="C104" i="7"/>
  <c r="B104" i="7"/>
  <c r="A104" i="7"/>
  <c r="J103" i="7"/>
  <c r="D103" i="7"/>
  <c r="C103" i="7"/>
  <c r="B103" i="7"/>
  <c r="A103" i="7"/>
  <c r="J102" i="7"/>
  <c r="D102" i="7"/>
  <c r="C102" i="7"/>
  <c r="B102" i="7"/>
  <c r="A102" i="7"/>
  <c r="J101" i="7"/>
  <c r="D101" i="7"/>
  <c r="C101" i="7"/>
  <c r="B101" i="7"/>
  <c r="A101" i="7"/>
  <c r="J100" i="7"/>
  <c r="D100" i="7"/>
  <c r="C100" i="7"/>
  <c r="B100" i="7"/>
  <c r="A100" i="7"/>
  <c r="J99" i="7"/>
  <c r="D99" i="7"/>
  <c r="C99" i="7"/>
  <c r="B99" i="7"/>
  <c r="A99" i="7"/>
  <c r="J98" i="7"/>
  <c r="D98" i="7"/>
  <c r="C98" i="7"/>
  <c r="B98" i="7"/>
  <c r="A98" i="7"/>
  <c r="J97" i="7"/>
  <c r="D97" i="7"/>
  <c r="C97" i="7"/>
  <c r="B97" i="7"/>
  <c r="A97" i="7"/>
  <c r="J96" i="7"/>
  <c r="D96" i="7"/>
  <c r="C96" i="7"/>
  <c r="B96" i="7"/>
  <c r="A96" i="7"/>
  <c r="J95" i="7"/>
  <c r="D95" i="7"/>
  <c r="C95" i="7"/>
  <c r="B95" i="7"/>
  <c r="A95" i="7"/>
  <c r="J94" i="7"/>
  <c r="D94" i="7"/>
  <c r="C94" i="7"/>
  <c r="B94" i="7"/>
  <c r="A94" i="7"/>
  <c r="J93" i="7"/>
  <c r="D93" i="7"/>
  <c r="C93" i="7"/>
  <c r="B93" i="7"/>
  <c r="A93" i="7"/>
  <c r="J92" i="7"/>
  <c r="D92" i="7"/>
  <c r="C92" i="7"/>
  <c r="B92" i="7"/>
  <c r="A92" i="7"/>
  <c r="J91" i="7"/>
  <c r="D91" i="7"/>
  <c r="C91" i="7"/>
  <c r="B91" i="7"/>
  <c r="A91" i="7"/>
  <c r="J90" i="7"/>
  <c r="D90" i="7"/>
  <c r="C90" i="7"/>
  <c r="B90" i="7"/>
  <c r="A90" i="7"/>
  <c r="J89" i="7"/>
  <c r="D89" i="7"/>
  <c r="C89" i="7"/>
  <c r="B89" i="7"/>
  <c r="A89" i="7"/>
  <c r="J88" i="7"/>
  <c r="D88" i="7"/>
  <c r="C88" i="7"/>
  <c r="B88" i="7"/>
  <c r="A88" i="7"/>
  <c r="J87" i="7"/>
  <c r="D87" i="7"/>
  <c r="C87" i="7"/>
  <c r="B87" i="7"/>
  <c r="A87" i="7"/>
  <c r="J86" i="7"/>
  <c r="D86" i="7"/>
  <c r="C86" i="7"/>
  <c r="B86" i="7"/>
  <c r="A86" i="7"/>
  <c r="J85" i="7"/>
  <c r="D85" i="7"/>
  <c r="C85" i="7"/>
  <c r="B85" i="7"/>
  <c r="A85" i="7"/>
  <c r="J84" i="7"/>
  <c r="D84" i="7"/>
  <c r="C84" i="7"/>
  <c r="B84" i="7"/>
  <c r="A84" i="7"/>
  <c r="J83" i="7"/>
  <c r="D83" i="7"/>
  <c r="C83" i="7"/>
  <c r="B83" i="7"/>
  <c r="A83" i="7"/>
  <c r="J82" i="7"/>
  <c r="D82" i="7"/>
  <c r="C82" i="7"/>
  <c r="B82" i="7"/>
  <c r="A82" i="7"/>
  <c r="J81" i="7"/>
  <c r="D81" i="7"/>
  <c r="C81" i="7"/>
  <c r="B81" i="7"/>
  <c r="A81" i="7"/>
  <c r="J80" i="7"/>
  <c r="D80" i="7"/>
  <c r="C80" i="7"/>
  <c r="B80" i="7"/>
  <c r="A80" i="7"/>
  <c r="J79" i="7"/>
  <c r="J78" i="7"/>
  <c r="D78" i="7"/>
  <c r="C78" i="7"/>
  <c r="B78" i="7"/>
  <c r="A78" i="7"/>
  <c r="J77" i="7"/>
  <c r="D77" i="7"/>
  <c r="C77" i="7"/>
  <c r="B77" i="7"/>
  <c r="A77" i="7"/>
  <c r="J76" i="7"/>
  <c r="D76" i="7"/>
  <c r="C76" i="7"/>
  <c r="B76" i="7"/>
  <c r="A76" i="7"/>
  <c r="J75" i="7"/>
  <c r="D75" i="7"/>
  <c r="C75" i="7"/>
  <c r="B75" i="7"/>
  <c r="A75" i="7"/>
  <c r="J74" i="7"/>
  <c r="D74" i="7"/>
  <c r="C74" i="7"/>
  <c r="B74" i="7"/>
  <c r="A74" i="7"/>
  <c r="J73" i="7"/>
  <c r="D73" i="7"/>
  <c r="C73" i="7"/>
  <c r="B73" i="7"/>
  <c r="A73" i="7"/>
  <c r="J72" i="7"/>
  <c r="D72" i="7"/>
  <c r="C72" i="7"/>
  <c r="B72" i="7"/>
  <c r="A72" i="7"/>
  <c r="J71" i="7"/>
  <c r="D71" i="7"/>
  <c r="C71" i="7"/>
  <c r="B71" i="7"/>
  <c r="A71" i="7"/>
  <c r="J70" i="7"/>
  <c r="D70" i="7"/>
  <c r="C70" i="7"/>
  <c r="B70" i="7"/>
  <c r="A70" i="7"/>
  <c r="J69" i="7"/>
  <c r="D69" i="7"/>
  <c r="C69" i="7"/>
  <c r="B69" i="7"/>
  <c r="A69" i="7"/>
  <c r="J68" i="7"/>
  <c r="D68" i="7"/>
  <c r="C68" i="7"/>
  <c r="B68" i="7"/>
  <c r="A68" i="7"/>
  <c r="J67" i="7"/>
  <c r="D67" i="7"/>
  <c r="C67" i="7"/>
  <c r="B67" i="7"/>
  <c r="A67" i="7"/>
  <c r="J66" i="7"/>
  <c r="D66" i="7"/>
  <c r="C66" i="7"/>
  <c r="B66" i="7"/>
  <c r="A66" i="7"/>
  <c r="J65" i="7"/>
  <c r="D65" i="7"/>
  <c r="C65" i="7"/>
  <c r="B65" i="7"/>
  <c r="A65" i="7"/>
  <c r="J64" i="7"/>
  <c r="D64" i="7"/>
  <c r="C64" i="7"/>
  <c r="B64" i="7"/>
  <c r="A64" i="7"/>
  <c r="J63" i="7"/>
  <c r="D63" i="7"/>
  <c r="C63" i="7"/>
  <c r="B63" i="7"/>
  <c r="A63" i="7"/>
  <c r="J62" i="7"/>
  <c r="D62" i="7"/>
  <c r="C62" i="7"/>
  <c r="B62" i="7"/>
  <c r="A62" i="7"/>
  <c r="J61" i="7"/>
  <c r="D61" i="7"/>
  <c r="C61" i="7"/>
  <c r="B61" i="7"/>
  <c r="A61" i="7"/>
  <c r="J60" i="7"/>
  <c r="D60" i="7"/>
  <c r="C60" i="7"/>
  <c r="B60" i="7"/>
  <c r="A60" i="7"/>
  <c r="J59" i="7"/>
  <c r="D59" i="7"/>
  <c r="C59" i="7"/>
  <c r="B59" i="7"/>
  <c r="A59" i="7"/>
  <c r="J58" i="7"/>
  <c r="D58" i="7"/>
  <c r="C58" i="7"/>
  <c r="B58" i="7"/>
  <c r="A58" i="7"/>
  <c r="J57" i="7"/>
  <c r="D57" i="7"/>
  <c r="C57" i="7"/>
  <c r="B57" i="7"/>
  <c r="A57" i="7"/>
  <c r="J56" i="7"/>
  <c r="D56" i="7"/>
  <c r="C56" i="7"/>
  <c r="B56" i="7"/>
  <c r="A56" i="7"/>
  <c r="J55" i="7"/>
  <c r="D55" i="7"/>
  <c r="C55" i="7"/>
  <c r="B55" i="7"/>
  <c r="A55" i="7"/>
  <c r="J54" i="7"/>
  <c r="D54" i="7"/>
  <c r="C54" i="7"/>
  <c r="B54" i="7"/>
  <c r="A54" i="7"/>
  <c r="J53" i="7"/>
  <c r="D53" i="7"/>
  <c r="C53" i="7"/>
  <c r="B53" i="7"/>
  <c r="A53" i="7"/>
  <c r="J52" i="7"/>
  <c r="D52" i="7"/>
  <c r="C52" i="7"/>
  <c r="B52" i="7"/>
  <c r="A52" i="7"/>
  <c r="J51" i="7"/>
  <c r="D51" i="7"/>
  <c r="C51" i="7"/>
  <c r="B51" i="7"/>
  <c r="A51" i="7"/>
  <c r="J50" i="7"/>
  <c r="D50" i="7"/>
  <c r="C50" i="7"/>
  <c r="B50" i="7"/>
  <c r="A50" i="7"/>
  <c r="J49" i="7"/>
  <c r="D49" i="7"/>
  <c r="C49" i="7"/>
  <c r="B49" i="7"/>
  <c r="A49" i="7"/>
  <c r="J48" i="7"/>
  <c r="D48" i="7"/>
  <c r="C48" i="7"/>
  <c r="B48" i="7"/>
  <c r="A48" i="7"/>
  <c r="J47" i="7"/>
  <c r="D47" i="7"/>
  <c r="C47" i="7"/>
  <c r="B47" i="7"/>
  <c r="A47" i="7"/>
  <c r="J46" i="7"/>
  <c r="D46" i="7"/>
  <c r="C46" i="7"/>
  <c r="B46" i="7"/>
  <c r="A46" i="7"/>
  <c r="J45" i="7"/>
  <c r="D45" i="7"/>
  <c r="C45" i="7"/>
  <c r="B45" i="7"/>
  <c r="A45" i="7"/>
  <c r="J44" i="7"/>
  <c r="C44" i="7"/>
  <c r="A44" i="7"/>
  <c r="F42" i="7"/>
  <c r="C41" i="7"/>
  <c r="F40" i="7"/>
  <c r="C40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D6" i="3" s="1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D4" i="3" s="1"/>
  <c r="H5" i="7"/>
  <c r="H4" i="7"/>
  <c r="H3" i="7"/>
  <c r="H40" i="7" s="1"/>
  <c r="D239" i="6"/>
  <c r="C239" i="6"/>
  <c r="B239" i="6"/>
  <c r="A239" i="6"/>
  <c r="D238" i="6"/>
  <c r="C238" i="6"/>
  <c r="B238" i="6"/>
  <c r="A238" i="6"/>
  <c r="D237" i="6"/>
  <c r="C237" i="6"/>
  <c r="B237" i="6"/>
  <c r="A237" i="6"/>
  <c r="D236" i="6"/>
  <c r="C236" i="6"/>
  <c r="B236" i="6"/>
  <c r="A236" i="6"/>
  <c r="D235" i="6"/>
  <c r="C235" i="6"/>
  <c r="B235" i="6"/>
  <c r="A235" i="6"/>
  <c r="D234" i="6"/>
  <c r="C234" i="6"/>
  <c r="B234" i="6"/>
  <c r="A234" i="6"/>
  <c r="D233" i="6"/>
  <c r="C233" i="6"/>
  <c r="B233" i="6"/>
  <c r="A233" i="6"/>
  <c r="D232" i="6"/>
  <c r="C232" i="6"/>
  <c r="B232" i="6"/>
  <c r="A232" i="6"/>
  <c r="D231" i="6"/>
  <c r="C231" i="6"/>
  <c r="B231" i="6"/>
  <c r="A231" i="6"/>
  <c r="D230" i="6"/>
  <c r="C230" i="6"/>
  <c r="B230" i="6"/>
  <c r="A230" i="6"/>
  <c r="D229" i="6"/>
  <c r="C229" i="6"/>
  <c r="B229" i="6"/>
  <c r="A229" i="6"/>
  <c r="D228" i="6"/>
  <c r="C228" i="6"/>
  <c r="B228" i="6"/>
  <c r="A228" i="6"/>
  <c r="D227" i="6"/>
  <c r="C227" i="6"/>
  <c r="B227" i="6"/>
  <c r="A227" i="6"/>
  <c r="D226" i="6"/>
  <c r="C226" i="6"/>
  <c r="B226" i="6"/>
  <c r="A226" i="6"/>
  <c r="D225" i="6"/>
  <c r="C225" i="6"/>
  <c r="B225" i="6"/>
  <c r="A225" i="6"/>
  <c r="D224" i="6"/>
  <c r="C224" i="6"/>
  <c r="B224" i="6"/>
  <c r="A224" i="6"/>
  <c r="D223" i="6"/>
  <c r="C223" i="6"/>
  <c r="B223" i="6"/>
  <c r="A223" i="6"/>
  <c r="D222" i="6"/>
  <c r="C222" i="6"/>
  <c r="B222" i="6"/>
  <c r="A222" i="6"/>
  <c r="D221" i="6"/>
  <c r="C221" i="6"/>
  <c r="B221" i="6"/>
  <c r="A221" i="6"/>
  <c r="D220" i="6"/>
  <c r="C220" i="6"/>
  <c r="B220" i="6"/>
  <c r="A220" i="6"/>
  <c r="D219" i="6"/>
  <c r="C219" i="6"/>
  <c r="B219" i="6"/>
  <c r="A219" i="6"/>
  <c r="D218" i="6"/>
  <c r="C218" i="6"/>
  <c r="B218" i="6"/>
  <c r="A218" i="6"/>
  <c r="D217" i="6"/>
  <c r="C217" i="6"/>
  <c r="B217" i="6"/>
  <c r="A217" i="6"/>
  <c r="J216" i="6"/>
  <c r="D216" i="6"/>
  <c r="C216" i="6"/>
  <c r="B216" i="6"/>
  <c r="A216" i="6"/>
  <c r="J215" i="6"/>
  <c r="D215" i="6"/>
  <c r="C215" i="6"/>
  <c r="B215" i="6"/>
  <c r="A215" i="6"/>
  <c r="J214" i="6"/>
  <c r="D214" i="6"/>
  <c r="C214" i="6"/>
  <c r="B214" i="6"/>
  <c r="A214" i="6"/>
  <c r="J213" i="6"/>
  <c r="D213" i="6"/>
  <c r="C213" i="6"/>
  <c r="B213" i="6"/>
  <c r="A213" i="6"/>
  <c r="J212" i="6"/>
  <c r="D212" i="6"/>
  <c r="C212" i="6"/>
  <c r="B212" i="6"/>
  <c r="A212" i="6"/>
  <c r="J211" i="6"/>
  <c r="D211" i="6"/>
  <c r="C211" i="6"/>
  <c r="B211" i="6"/>
  <c r="A211" i="6"/>
  <c r="J210" i="6"/>
  <c r="D210" i="6"/>
  <c r="C210" i="6"/>
  <c r="B210" i="6"/>
  <c r="A210" i="6"/>
  <c r="J209" i="6"/>
  <c r="D209" i="6"/>
  <c r="C209" i="6"/>
  <c r="B209" i="6"/>
  <c r="A209" i="6"/>
  <c r="J208" i="6"/>
  <c r="D208" i="6"/>
  <c r="C208" i="6"/>
  <c r="B208" i="6"/>
  <c r="A208" i="6"/>
  <c r="J207" i="6"/>
  <c r="D207" i="6"/>
  <c r="C207" i="6"/>
  <c r="B207" i="6"/>
  <c r="A207" i="6"/>
  <c r="J206" i="6"/>
  <c r="D206" i="6"/>
  <c r="C206" i="6"/>
  <c r="B206" i="6"/>
  <c r="A206" i="6"/>
  <c r="J205" i="6"/>
  <c r="D205" i="6"/>
  <c r="C205" i="6"/>
  <c r="B205" i="6"/>
  <c r="A205" i="6"/>
  <c r="J204" i="6"/>
  <c r="D204" i="6"/>
  <c r="C204" i="6"/>
  <c r="B204" i="6"/>
  <c r="A204" i="6"/>
  <c r="J203" i="6"/>
  <c r="D203" i="6"/>
  <c r="C203" i="6"/>
  <c r="B203" i="6"/>
  <c r="A203" i="6"/>
  <c r="J202" i="6"/>
  <c r="D202" i="6"/>
  <c r="C202" i="6"/>
  <c r="B202" i="6"/>
  <c r="A202" i="6"/>
  <c r="J201" i="6"/>
  <c r="D201" i="6"/>
  <c r="C201" i="6"/>
  <c r="B201" i="6"/>
  <c r="A201" i="6"/>
  <c r="J200" i="6"/>
  <c r="D200" i="6"/>
  <c r="C200" i="6"/>
  <c r="B200" i="6"/>
  <c r="A200" i="6"/>
  <c r="J199" i="6"/>
  <c r="D199" i="6"/>
  <c r="C199" i="6"/>
  <c r="B199" i="6"/>
  <c r="A199" i="6"/>
  <c r="J198" i="6"/>
  <c r="D198" i="6"/>
  <c r="C198" i="6"/>
  <c r="B198" i="6"/>
  <c r="A198" i="6"/>
  <c r="J197" i="6"/>
  <c r="D197" i="6"/>
  <c r="C197" i="6"/>
  <c r="B197" i="6"/>
  <c r="A197" i="6"/>
  <c r="J196" i="6"/>
  <c r="D196" i="6"/>
  <c r="C196" i="6"/>
  <c r="B196" i="6"/>
  <c r="A196" i="6"/>
  <c r="J195" i="6"/>
  <c r="D195" i="6"/>
  <c r="C195" i="6"/>
  <c r="B195" i="6"/>
  <c r="A195" i="6"/>
  <c r="J194" i="6"/>
  <c r="D194" i="6"/>
  <c r="C194" i="6"/>
  <c r="B194" i="6"/>
  <c r="A194" i="6"/>
  <c r="J193" i="6"/>
  <c r="D193" i="6"/>
  <c r="C193" i="6"/>
  <c r="B193" i="6"/>
  <c r="A193" i="6"/>
  <c r="J192" i="6"/>
  <c r="D192" i="6"/>
  <c r="C192" i="6"/>
  <c r="B192" i="6"/>
  <c r="A192" i="6"/>
  <c r="J191" i="6"/>
  <c r="D191" i="6"/>
  <c r="C191" i="6"/>
  <c r="B191" i="6"/>
  <c r="A191" i="6"/>
  <c r="J190" i="6"/>
  <c r="D190" i="6"/>
  <c r="C190" i="6"/>
  <c r="B190" i="6"/>
  <c r="A190" i="6"/>
  <c r="J189" i="6"/>
  <c r="D189" i="6"/>
  <c r="C189" i="6"/>
  <c r="B189" i="6"/>
  <c r="A189" i="6"/>
  <c r="J188" i="6"/>
  <c r="D188" i="6"/>
  <c r="C188" i="6"/>
  <c r="B188" i="6"/>
  <c r="A188" i="6"/>
  <c r="J187" i="6"/>
  <c r="D187" i="6"/>
  <c r="C187" i="6"/>
  <c r="B187" i="6"/>
  <c r="A187" i="6"/>
  <c r="J186" i="6"/>
  <c r="D186" i="6"/>
  <c r="C186" i="6"/>
  <c r="B186" i="6"/>
  <c r="A186" i="6"/>
  <c r="J185" i="6"/>
  <c r="D185" i="6"/>
  <c r="C185" i="6"/>
  <c r="B185" i="6"/>
  <c r="A185" i="6"/>
  <c r="J184" i="6"/>
  <c r="D184" i="6"/>
  <c r="C184" i="6"/>
  <c r="B184" i="6"/>
  <c r="A184" i="6"/>
  <c r="J183" i="6"/>
  <c r="D183" i="6"/>
  <c r="C183" i="6"/>
  <c r="B183" i="6"/>
  <c r="A183" i="6"/>
  <c r="J182" i="6"/>
  <c r="D182" i="6"/>
  <c r="C182" i="6"/>
  <c r="B182" i="6"/>
  <c r="A182" i="6"/>
  <c r="J181" i="6"/>
  <c r="D181" i="6"/>
  <c r="C181" i="6"/>
  <c r="B181" i="6"/>
  <c r="A181" i="6"/>
  <c r="J180" i="6"/>
  <c r="D180" i="6"/>
  <c r="C180" i="6"/>
  <c r="B180" i="6"/>
  <c r="A180" i="6"/>
  <c r="J179" i="6"/>
  <c r="D179" i="6"/>
  <c r="C179" i="6"/>
  <c r="B179" i="6"/>
  <c r="A179" i="6"/>
  <c r="J178" i="6"/>
  <c r="D178" i="6"/>
  <c r="C178" i="6"/>
  <c r="B178" i="6"/>
  <c r="A178" i="6"/>
  <c r="J177" i="6"/>
  <c r="D177" i="6"/>
  <c r="C177" i="6"/>
  <c r="B177" i="6"/>
  <c r="A177" i="6"/>
  <c r="J176" i="6"/>
  <c r="D176" i="6"/>
  <c r="C176" i="6"/>
  <c r="B176" i="6"/>
  <c r="A176" i="6"/>
  <c r="J175" i="6"/>
  <c r="D175" i="6"/>
  <c r="C175" i="6"/>
  <c r="B175" i="6"/>
  <c r="A175" i="6"/>
  <c r="J174" i="6"/>
  <c r="D174" i="6"/>
  <c r="C174" i="6"/>
  <c r="B174" i="6"/>
  <c r="A174" i="6"/>
  <c r="J173" i="6"/>
  <c r="D173" i="6"/>
  <c r="C173" i="6"/>
  <c r="B173" i="6"/>
  <c r="A173" i="6"/>
  <c r="J172" i="6"/>
  <c r="D172" i="6"/>
  <c r="C172" i="6"/>
  <c r="B172" i="6"/>
  <c r="A172" i="6"/>
  <c r="J171" i="6"/>
  <c r="D171" i="6"/>
  <c r="C171" i="6"/>
  <c r="B171" i="6"/>
  <c r="A171" i="6"/>
  <c r="J170" i="6"/>
  <c r="D170" i="6"/>
  <c r="C170" i="6"/>
  <c r="B170" i="6"/>
  <c r="A170" i="6"/>
  <c r="J169" i="6"/>
  <c r="D169" i="6"/>
  <c r="C169" i="6"/>
  <c r="B169" i="6"/>
  <c r="A169" i="6"/>
  <c r="J168" i="6"/>
  <c r="D168" i="6"/>
  <c r="C168" i="6"/>
  <c r="B168" i="6"/>
  <c r="A168" i="6"/>
  <c r="J167" i="6"/>
  <c r="D167" i="6"/>
  <c r="C167" i="6"/>
  <c r="B167" i="6"/>
  <c r="A167" i="6"/>
  <c r="J166" i="6"/>
  <c r="D166" i="6"/>
  <c r="C166" i="6"/>
  <c r="B166" i="6"/>
  <c r="A166" i="6"/>
  <c r="J165" i="6"/>
  <c r="D165" i="6"/>
  <c r="C165" i="6"/>
  <c r="B165" i="6"/>
  <c r="A165" i="6"/>
  <c r="J164" i="6"/>
  <c r="D164" i="6"/>
  <c r="C164" i="6"/>
  <c r="B164" i="6"/>
  <c r="A164" i="6"/>
  <c r="J163" i="6"/>
  <c r="D163" i="6"/>
  <c r="C163" i="6"/>
  <c r="B163" i="6"/>
  <c r="A163" i="6"/>
  <c r="J162" i="6"/>
  <c r="D162" i="6"/>
  <c r="C162" i="6"/>
  <c r="B162" i="6"/>
  <c r="A162" i="6"/>
  <c r="J161" i="6"/>
  <c r="D161" i="6"/>
  <c r="C161" i="6"/>
  <c r="B161" i="6"/>
  <c r="A161" i="6"/>
  <c r="J160" i="6"/>
  <c r="D160" i="6"/>
  <c r="C160" i="6"/>
  <c r="B160" i="6"/>
  <c r="A160" i="6"/>
  <c r="J159" i="6"/>
  <c r="D159" i="6"/>
  <c r="C159" i="6"/>
  <c r="B159" i="6"/>
  <c r="A159" i="6"/>
  <c r="J158" i="6"/>
  <c r="D158" i="6"/>
  <c r="C158" i="6"/>
  <c r="B158" i="6"/>
  <c r="A158" i="6"/>
  <c r="J157" i="6"/>
  <c r="D157" i="6"/>
  <c r="C157" i="6"/>
  <c r="B157" i="6"/>
  <c r="A157" i="6"/>
  <c r="J156" i="6"/>
  <c r="D156" i="6"/>
  <c r="C156" i="6"/>
  <c r="B156" i="6"/>
  <c r="A156" i="6"/>
  <c r="J155" i="6"/>
  <c r="D155" i="6"/>
  <c r="C155" i="6"/>
  <c r="B155" i="6"/>
  <c r="A155" i="6"/>
  <c r="J154" i="6"/>
  <c r="C154" i="6"/>
  <c r="A154" i="6"/>
  <c r="J153" i="6"/>
  <c r="D153" i="6"/>
  <c r="C153" i="6"/>
  <c r="B153" i="6"/>
  <c r="A153" i="6"/>
  <c r="J152" i="6"/>
  <c r="D152" i="6"/>
  <c r="C152" i="6"/>
  <c r="B152" i="6"/>
  <c r="A152" i="6"/>
  <c r="J151" i="6"/>
  <c r="D151" i="6"/>
  <c r="C151" i="6"/>
  <c r="B151" i="6"/>
  <c r="A151" i="6"/>
  <c r="J150" i="6"/>
  <c r="D150" i="6"/>
  <c r="C150" i="6"/>
  <c r="B150" i="6"/>
  <c r="A150" i="6"/>
  <c r="J149" i="6"/>
  <c r="D149" i="6"/>
  <c r="C149" i="6"/>
  <c r="B149" i="6"/>
  <c r="A149" i="6"/>
  <c r="J148" i="6"/>
  <c r="D148" i="6"/>
  <c r="C148" i="6"/>
  <c r="B148" i="6"/>
  <c r="A148" i="6"/>
  <c r="J147" i="6"/>
  <c r="D147" i="6"/>
  <c r="C147" i="6"/>
  <c r="B147" i="6"/>
  <c r="A147" i="6"/>
  <c r="J146" i="6"/>
  <c r="D146" i="6"/>
  <c r="C146" i="6"/>
  <c r="B146" i="6"/>
  <c r="A146" i="6"/>
  <c r="J145" i="6"/>
  <c r="D145" i="6"/>
  <c r="C145" i="6"/>
  <c r="B145" i="6"/>
  <c r="A145" i="6"/>
  <c r="J144" i="6"/>
  <c r="D144" i="6"/>
  <c r="C144" i="6"/>
  <c r="B144" i="6"/>
  <c r="A144" i="6"/>
  <c r="J143" i="6"/>
  <c r="D143" i="6"/>
  <c r="C143" i="6"/>
  <c r="B143" i="6"/>
  <c r="A143" i="6"/>
  <c r="J142" i="6"/>
  <c r="D142" i="6"/>
  <c r="C142" i="6"/>
  <c r="B142" i="6"/>
  <c r="A142" i="6"/>
  <c r="J141" i="6"/>
  <c r="D141" i="6"/>
  <c r="C141" i="6"/>
  <c r="B141" i="6"/>
  <c r="A141" i="6"/>
  <c r="J140" i="6"/>
  <c r="D140" i="6"/>
  <c r="C140" i="6"/>
  <c r="B140" i="6"/>
  <c r="A140" i="6"/>
  <c r="J139" i="6"/>
  <c r="D139" i="6"/>
  <c r="C139" i="6"/>
  <c r="B139" i="6"/>
  <c r="A139" i="6"/>
  <c r="J138" i="6"/>
  <c r="D138" i="6"/>
  <c r="C138" i="6"/>
  <c r="B138" i="6"/>
  <c r="A138" i="6"/>
  <c r="J137" i="6"/>
  <c r="D137" i="6"/>
  <c r="C137" i="6"/>
  <c r="B137" i="6"/>
  <c r="A137" i="6"/>
  <c r="J136" i="6"/>
  <c r="D136" i="6"/>
  <c r="C136" i="6"/>
  <c r="B136" i="6"/>
  <c r="A136" i="6"/>
  <c r="J135" i="6"/>
  <c r="D135" i="6"/>
  <c r="C135" i="6"/>
  <c r="B135" i="6"/>
  <c r="A135" i="6"/>
  <c r="J134" i="6"/>
  <c r="D134" i="6"/>
  <c r="C134" i="6"/>
  <c r="B134" i="6"/>
  <c r="A134" i="6"/>
  <c r="J133" i="6"/>
  <c r="D133" i="6"/>
  <c r="C133" i="6"/>
  <c r="B133" i="6"/>
  <c r="A133" i="6"/>
  <c r="J132" i="6"/>
  <c r="D132" i="6"/>
  <c r="C132" i="6"/>
  <c r="B132" i="6"/>
  <c r="A132" i="6"/>
  <c r="J131" i="6"/>
  <c r="D131" i="6"/>
  <c r="C131" i="6"/>
  <c r="B131" i="6"/>
  <c r="A131" i="6"/>
  <c r="J130" i="6"/>
  <c r="D130" i="6"/>
  <c r="C130" i="6"/>
  <c r="B130" i="6"/>
  <c r="A130" i="6"/>
  <c r="J129" i="6"/>
  <c r="D129" i="6"/>
  <c r="C129" i="6"/>
  <c r="B129" i="6"/>
  <c r="A129" i="6"/>
  <c r="J128" i="6"/>
  <c r="D128" i="6"/>
  <c r="C128" i="6"/>
  <c r="B128" i="6"/>
  <c r="A128" i="6"/>
  <c r="J127" i="6"/>
  <c r="D127" i="6"/>
  <c r="C127" i="6"/>
  <c r="B127" i="6"/>
  <c r="A127" i="6"/>
  <c r="J126" i="6"/>
  <c r="D126" i="6"/>
  <c r="C126" i="6"/>
  <c r="B126" i="6"/>
  <c r="A126" i="6"/>
  <c r="J125" i="6"/>
  <c r="D125" i="6"/>
  <c r="C125" i="6"/>
  <c r="B125" i="6"/>
  <c r="A125" i="6"/>
  <c r="J124" i="6"/>
  <c r="D124" i="6"/>
  <c r="C124" i="6"/>
  <c r="B124" i="6"/>
  <c r="A124" i="6"/>
  <c r="J123" i="6"/>
  <c r="D123" i="6"/>
  <c r="C123" i="6"/>
  <c r="B123" i="6"/>
  <c r="A123" i="6"/>
  <c r="J122" i="6"/>
  <c r="D122" i="6"/>
  <c r="C122" i="6"/>
  <c r="B122" i="6"/>
  <c r="A122" i="6"/>
  <c r="J121" i="6"/>
  <c r="D121" i="6"/>
  <c r="C121" i="6"/>
  <c r="B121" i="6"/>
  <c r="A121" i="6"/>
  <c r="J120" i="6"/>
  <c r="D120" i="6"/>
  <c r="C120" i="6"/>
  <c r="B120" i="6"/>
  <c r="A120" i="6"/>
  <c r="J119" i="6"/>
  <c r="D119" i="6"/>
  <c r="C119" i="6"/>
  <c r="B119" i="6"/>
  <c r="A119" i="6"/>
  <c r="J118" i="6"/>
  <c r="D118" i="6"/>
  <c r="C118" i="6"/>
  <c r="B118" i="6"/>
  <c r="A118" i="6"/>
  <c r="J117" i="6"/>
  <c r="D117" i="6"/>
  <c r="C117" i="6"/>
  <c r="B117" i="6"/>
  <c r="A117" i="6"/>
  <c r="J116" i="6"/>
  <c r="D116" i="6"/>
  <c r="C116" i="6"/>
  <c r="B116" i="6"/>
  <c r="A116" i="6"/>
  <c r="J115" i="6"/>
  <c r="D115" i="6"/>
  <c r="C115" i="6"/>
  <c r="B115" i="6"/>
  <c r="A115" i="6"/>
  <c r="J114" i="6"/>
  <c r="D114" i="6"/>
  <c r="C114" i="6"/>
  <c r="B114" i="6"/>
  <c r="A114" i="6"/>
  <c r="J113" i="6"/>
  <c r="D113" i="6"/>
  <c r="C113" i="6"/>
  <c r="B113" i="6"/>
  <c r="A113" i="6"/>
  <c r="J112" i="6"/>
  <c r="D112" i="6"/>
  <c r="C112" i="6"/>
  <c r="B112" i="6"/>
  <c r="A112" i="6"/>
  <c r="J111" i="6"/>
  <c r="D111" i="6"/>
  <c r="C111" i="6"/>
  <c r="B111" i="6"/>
  <c r="A111" i="6"/>
  <c r="J110" i="6"/>
  <c r="D110" i="6"/>
  <c r="C110" i="6"/>
  <c r="B110" i="6"/>
  <c r="A110" i="6"/>
  <c r="J109" i="6"/>
  <c r="D109" i="6"/>
  <c r="C109" i="6"/>
  <c r="B109" i="6"/>
  <c r="A109" i="6"/>
  <c r="J108" i="6"/>
  <c r="D108" i="6"/>
  <c r="C108" i="6"/>
  <c r="B108" i="6"/>
  <c r="A108" i="6"/>
  <c r="J107" i="6"/>
  <c r="D107" i="6"/>
  <c r="C107" i="6"/>
  <c r="B107" i="6"/>
  <c r="A107" i="6"/>
  <c r="J106" i="6"/>
  <c r="D106" i="6"/>
  <c r="C106" i="6"/>
  <c r="B106" i="6"/>
  <c r="A106" i="6"/>
  <c r="J105" i="6"/>
  <c r="D105" i="6"/>
  <c r="C105" i="6"/>
  <c r="B105" i="6"/>
  <c r="A105" i="6"/>
  <c r="J104" i="6"/>
  <c r="D104" i="6"/>
  <c r="C104" i="6"/>
  <c r="B104" i="6"/>
  <c r="A104" i="6"/>
  <c r="J103" i="6"/>
  <c r="D103" i="6"/>
  <c r="C103" i="6"/>
  <c r="B103" i="6"/>
  <c r="A103" i="6"/>
  <c r="J102" i="6"/>
  <c r="D102" i="6"/>
  <c r="C102" i="6"/>
  <c r="B102" i="6"/>
  <c r="A102" i="6"/>
  <c r="J101" i="6"/>
  <c r="D101" i="6"/>
  <c r="C101" i="6"/>
  <c r="B101" i="6"/>
  <c r="A101" i="6"/>
  <c r="J100" i="6"/>
  <c r="D100" i="6"/>
  <c r="C100" i="6"/>
  <c r="B100" i="6"/>
  <c r="A100" i="6"/>
  <c r="J99" i="6"/>
  <c r="D99" i="6"/>
  <c r="C99" i="6"/>
  <c r="B99" i="6"/>
  <c r="A99" i="6"/>
  <c r="J98" i="6"/>
  <c r="D98" i="6"/>
  <c r="C98" i="6"/>
  <c r="B98" i="6"/>
  <c r="A98" i="6"/>
  <c r="J97" i="6"/>
  <c r="D97" i="6"/>
  <c r="C97" i="6"/>
  <c r="B97" i="6"/>
  <c r="A97" i="6"/>
  <c r="J96" i="6"/>
  <c r="D96" i="6"/>
  <c r="C96" i="6"/>
  <c r="B96" i="6"/>
  <c r="A96" i="6"/>
  <c r="J95" i="6"/>
  <c r="D95" i="6"/>
  <c r="C95" i="6"/>
  <c r="B95" i="6"/>
  <c r="A95" i="6"/>
  <c r="J94" i="6"/>
  <c r="D94" i="6"/>
  <c r="C94" i="6"/>
  <c r="B94" i="6"/>
  <c r="A94" i="6"/>
  <c r="J93" i="6"/>
  <c r="D93" i="6"/>
  <c r="C93" i="6"/>
  <c r="B93" i="6"/>
  <c r="A93" i="6"/>
  <c r="J92" i="6"/>
  <c r="D92" i="6"/>
  <c r="C92" i="6"/>
  <c r="B92" i="6"/>
  <c r="A92" i="6"/>
  <c r="J91" i="6"/>
  <c r="D91" i="6"/>
  <c r="C91" i="6"/>
  <c r="B91" i="6"/>
  <c r="A91" i="6"/>
  <c r="J90" i="6"/>
  <c r="D90" i="6"/>
  <c r="C90" i="6"/>
  <c r="B90" i="6"/>
  <c r="A90" i="6"/>
  <c r="J89" i="6"/>
  <c r="D89" i="6"/>
  <c r="C89" i="6"/>
  <c r="B89" i="6"/>
  <c r="A89" i="6"/>
  <c r="J88" i="6"/>
  <c r="J87" i="6"/>
  <c r="J86" i="6"/>
  <c r="D86" i="6"/>
  <c r="C86" i="6"/>
  <c r="B86" i="6"/>
  <c r="A86" i="6"/>
  <c r="J85" i="6"/>
  <c r="D85" i="6"/>
  <c r="C85" i="6"/>
  <c r="B85" i="6"/>
  <c r="A85" i="6"/>
  <c r="J84" i="6"/>
  <c r="D84" i="6"/>
  <c r="C84" i="6"/>
  <c r="B84" i="6"/>
  <c r="A84" i="6"/>
  <c r="J83" i="6"/>
  <c r="D83" i="6"/>
  <c r="C83" i="6"/>
  <c r="B83" i="6"/>
  <c r="A83" i="6"/>
  <c r="J82" i="6"/>
  <c r="D82" i="6"/>
  <c r="C82" i="6"/>
  <c r="B82" i="6"/>
  <c r="A82" i="6"/>
  <c r="J81" i="6"/>
  <c r="D81" i="6"/>
  <c r="C81" i="6"/>
  <c r="B81" i="6"/>
  <c r="A81" i="6"/>
  <c r="J80" i="6"/>
  <c r="D80" i="6"/>
  <c r="C80" i="6"/>
  <c r="B80" i="6"/>
  <c r="A80" i="6"/>
  <c r="J79" i="6"/>
  <c r="J78" i="6"/>
  <c r="D78" i="6"/>
  <c r="C78" i="6"/>
  <c r="B78" i="6"/>
  <c r="A78" i="6"/>
  <c r="J77" i="6"/>
  <c r="D77" i="6"/>
  <c r="C77" i="6"/>
  <c r="B77" i="6"/>
  <c r="A77" i="6"/>
  <c r="J76" i="6"/>
  <c r="D76" i="6"/>
  <c r="C76" i="6"/>
  <c r="B76" i="6"/>
  <c r="A76" i="6"/>
  <c r="J75" i="6"/>
  <c r="D75" i="6"/>
  <c r="C75" i="6"/>
  <c r="B75" i="6"/>
  <c r="A75" i="6"/>
  <c r="J74" i="6"/>
  <c r="D74" i="6"/>
  <c r="C74" i="6"/>
  <c r="B74" i="6"/>
  <c r="A74" i="6"/>
  <c r="J73" i="6"/>
  <c r="D73" i="6"/>
  <c r="C73" i="6"/>
  <c r="B73" i="6"/>
  <c r="A73" i="6"/>
  <c r="J72" i="6"/>
  <c r="D72" i="6"/>
  <c r="C72" i="6"/>
  <c r="B72" i="6"/>
  <c r="A72" i="6"/>
  <c r="J71" i="6"/>
  <c r="D71" i="6"/>
  <c r="C71" i="6"/>
  <c r="B71" i="6"/>
  <c r="A71" i="6"/>
  <c r="J70" i="6"/>
  <c r="D70" i="6"/>
  <c r="C70" i="6"/>
  <c r="B70" i="6"/>
  <c r="A70" i="6"/>
  <c r="J69" i="6"/>
  <c r="D69" i="6"/>
  <c r="C69" i="6"/>
  <c r="B69" i="6"/>
  <c r="A69" i="6"/>
  <c r="J68" i="6"/>
  <c r="D68" i="6"/>
  <c r="C68" i="6"/>
  <c r="B68" i="6"/>
  <c r="A68" i="6"/>
  <c r="J67" i="6"/>
  <c r="D67" i="6"/>
  <c r="C67" i="6"/>
  <c r="B67" i="6"/>
  <c r="A67" i="6"/>
  <c r="J66" i="6"/>
  <c r="D66" i="6"/>
  <c r="C66" i="6"/>
  <c r="B66" i="6"/>
  <c r="A66" i="6"/>
  <c r="J65" i="6"/>
  <c r="D65" i="6"/>
  <c r="C65" i="6"/>
  <c r="B65" i="6"/>
  <c r="A65" i="6"/>
  <c r="J64" i="6"/>
  <c r="D64" i="6"/>
  <c r="C64" i="6"/>
  <c r="B64" i="6"/>
  <c r="A64" i="6"/>
  <c r="J63" i="6"/>
  <c r="D63" i="6"/>
  <c r="C63" i="6"/>
  <c r="B63" i="6"/>
  <c r="A63" i="6"/>
  <c r="J62" i="6"/>
  <c r="D62" i="6"/>
  <c r="C62" i="6"/>
  <c r="B62" i="6"/>
  <c r="A62" i="6"/>
  <c r="J61" i="6"/>
  <c r="D61" i="6"/>
  <c r="C61" i="6"/>
  <c r="B61" i="6"/>
  <c r="A61" i="6"/>
  <c r="J60" i="6"/>
  <c r="D60" i="6"/>
  <c r="C60" i="6"/>
  <c r="B60" i="6"/>
  <c r="A60" i="6"/>
  <c r="J59" i="6"/>
  <c r="D59" i="6"/>
  <c r="C59" i="6"/>
  <c r="B59" i="6"/>
  <c r="A59" i="6"/>
  <c r="J58" i="6"/>
  <c r="D58" i="6"/>
  <c r="C58" i="6"/>
  <c r="B58" i="6"/>
  <c r="A58" i="6"/>
  <c r="J57" i="6"/>
  <c r="D57" i="6"/>
  <c r="C57" i="6"/>
  <c r="B57" i="6"/>
  <c r="A57" i="6"/>
  <c r="J56" i="6"/>
  <c r="D56" i="6"/>
  <c r="C56" i="6"/>
  <c r="B56" i="6"/>
  <c r="A56" i="6"/>
  <c r="J55" i="6"/>
  <c r="D55" i="6"/>
  <c r="C55" i="6"/>
  <c r="B55" i="6"/>
  <c r="A55" i="6"/>
  <c r="J54" i="6"/>
  <c r="D54" i="6"/>
  <c r="C54" i="6"/>
  <c r="B54" i="6"/>
  <c r="A54" i="6"/>
  <c r="J53" i="6"/>
  <c r="D53" i="6"/>
  <c r="C53" i="6"/>
  <c r="B53" i="6"/>
  <c r="A53" i="6"/>
  <c r="J52" i="6"/>
  <c r="D52" i="6"/>
  <c r="C52" i="6"/>
  <c r="B52" i="6"/>
  <c r="A52" i="6"/>
  <c r="J51" i="6"/>
  <c r="D51" i="6"/>
  <c r="C51" i="6"/>
  <c r="B51" i="6"/>
  <c r="A51" i="6"/>
  <c r="J50" i="6"/>
  <c r="D50" i="6"/>
  <c r="C50" i="6"/>
  <c r="B50" i="6"/>
  <c r="A50" i="6"/>
  <c r="J49" i="6"/>
  <c r="D49" i="6"/>
  <c r="C49" i="6"/>
  <c r="B49" i="6"/>
  <c r="A49" i="6"/>
  <c r="J48" i="6"/>
  <c r="D48" i="6"/>
  <c r="C48" i="6"/>
  <c r="B48" i="6"/>
  <c r="A48" i="6"/>
  <c r="J47" i="6"/>
  <c r="D47" i="6"/>
  <c r="C47" i="6"/>
  <c r="B47" i="6"/>
  <c r="A47" i="6"/>
  <c r="J46" i="6"/>
  <c r="D46" i="6"/>
  <c r="C46" i="6"/>
  <c r="B46" i="6"/>
  <c r="A46" i="6"/>
  <c r="J45" i="6"/>
  <c r="D45" i="6"/>
  <c r="C45" i="6"/>
  <c r="B45" i="6"/>
  <c r="A45" i="6"/>
  <c r="J44" i="6"/>
  <c r="F42" i="6" s="1"/>
  <c r="C44" i="6"/>
  <c r="A44" i="6"/>
  <c r="C41" i="6"/>
  <c r="F40" i="6"/>
  <c r="C40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1" i="6"/>
  <c r="C6" i="3" s="1"/>
  <c r="H20" i="6"/>
  <c r="H19" i="6"/>
  <c r="H18" i="6"/>
  <c r="H17" i="6"/>
  <c r="H16" i="6"/>
  <c r="H15" i="6"/>
  <c r="H14" i="6"/>
  <c r="H13" i="6"/>
  <c r="C5" i="3" s="1"/>
  <c r="H12" i="6"/>
  <c r="H11" i="6"/>
  <c r="H10" i="6"/>
  <c r="H9" i="6"/>
  <c r="H8" i="6"/>
  <c r="H7" i="6"/>
  <c r="H6" i="6"/>
  <c r="H5" i="6"/>
  <c r="C4" i="3" s="1"/>
  <c r="H4" i="6"/>
  <c r="H3" i="6"/>
  <c r="H40" i="6" s="1"/>
  <c r="D237" i="5"/>
  <c r="C237" i="5"/>
  <c r="B237" i="5"/>
  <c r="A237" i="5"/>
  <c r="D236" i="5"/>
  <c r="C236" i="5"/>
  <c r="B236" i="5"/>
  <c r="A236" i="5"/>
  <c r="D235" i="5"/>
  <c r="C235" i="5"/>
  <c r="B235" i="5"/>
  <c r="A235" i="5"/>
  <c r="D234" i="5"/>
  <c r="C234" i="5"/>
  <c r="B234" i="5"/>
  <c r="A234" i="5"/>
  <c r="D233" i="5"/>
  <c r="C233" i="5"/>
  <c r="B233" i="5"/>
  <c r="A233" i="5"/>
  <c r="D232" i="5"/>
  <c r="C232" i="5"/>
  <c r="B232" i="5"/>
  <c r="A232" i="5"/>
  <c r="D231" i="5"/>
  <c r="C231" i="5"/>
  <c r="B231" i="5"/>
  <c r="A231" i="5"/>
  <c r="D230" i="5"/>
  <c r="C230" i="5"/>
  <c r="B230" i="5"/>
  <c r="A230" i="5"/>
  <c r="D229" i="5"/>
  <c r="C229" i="5"/>
  <c r="B229" i="5"/>
  <c r="A229" i="5"/>
  <c r="D228" i="5"/>
  <c r="C228" i="5"/>
  <c r="B228" i="5"/>
  <c r="A228" i="5"/>
  <c r="D227" i="5"/>
  <c r="C227" i="5"/>
  <c r="B227" i="5"/>
  <c r="A227" i="5"/>
  <c r="D226" i="5"/>
  <c r="C226" i="5"/>
  <c r="B226" i="5"/>
  <c r="A226" i="5"/>
  <c r="D225" i="5"/>
  <c r="C225" i="5"/>
  <c r="B225" i="5"/>
  <c r="A225" i="5"/>
  <c r="D224" i="5"/>
  <c r="C224" i="5"/>
  <c r="B224" i="5"/>
  <c r="A224" i="5"/>
  <c r="D223" i="5"/>
  <c r="C223" i="5"/>
  <c r="B223" i="5"/>
  <c r="A223" i="5"/>
  <c r="D222" i="5"/>
  <c r="C222" i="5"/>
  <c r="B222" i="5"/>
  <c r="A222" i="5"/>
  <c r="D221" i="5"/>
  <c r="C221" i="5"/>
  <c r="B221" i="5"/>
  <c r="A221" i="5"/>
  <c r="D220" i="5"/>
  <c r="C220" i="5"/>
  <c r="B220" i="5"/>
  <c r="A220" i="5"/>
  <c r="D219" i="5"/>
  <c r="C219" i="5"/>
  <c r="B219" i="5"/>
  <c r="A219" i="5"/>
  <c r="D218" i="5"/>
  <c r="C218" i="5"/>
  <c r="B218" i="5"/>
  <c r="A218" i="5"/>
  <c r="D217" i="5"/>
  <c r="C217" i="5"/>
  <c r="B217" i="5"/>
  <c r="A217" i="5"/>
  <c r="D216" i="5"/>
  <c r="C216" i="5"/>
  <c r="B216" i="5"/>
  <c r="A216" i="5"/>
  <c r="D215" i="5"/>
  <c r="C215" i="5"/>
  <c r="B215" i="5"/>
  <c r="A215" i="5"/>
  <c r="J214" i="5"/>
  <c r="D214" i="5"/>
  <c r="C214" i="5"/>
  <c r="B214" i="5"/>
  <c r="A214" i="5"/>
  <c r="J213" i="5"/>
  <c r="D213" i="5"/>
  <c r="C213" i="5"/>
  <c r="B213" i="5"/>
  <c r="A213" i="5"/>
  <c r="J212" i="5"/>
  <c r="D212" i="5"/>
  <c r="C212" i="5"/>
  <c r="B212" i="5"/>
  <c r="A212" i="5"/>
  <c r="J211" i="5"/>
  <c r="D211" i="5"/>
  <c r="C211" i="5"/>
  <c r="B211" i="5"/>
  <c r="A211" i="5"/>
  <c r="J210" i="5"/>
  <c r="D210" i="5"/>
  <c r="C210" i="5"/>
  <c r="B210" i="5"/>
  <c r="A210" i="5"/>
  <c r="J209" i="5"/>
  <c r="D209" i="5"/>
  <c r="C209" i="5"/>
  <c r="B209" i="5"/>
  <c r="A209" i="5"/>
  <c r="J208" i="5"/>
  <c r="D208" i="5"/>
  <c r="C208" i="5"/>
  <c r="B208" i="5"/>
  <c r="A208" i="5"/>
  <c r="J207" i="5"/>
  <c r="D207" i="5"/>
  <c r="C207" i="5"/>
  <c r="B207" i="5"/>
  <c r="A207" i="5"/>
  <c r="J206" i="5"/>
  <c r="D206" i="5"/>
  <c r="C206" i="5"/>
  <c r="B206" i="5"/>
  <c r="A206" i="5"/>
  <c r="J205" i="5"/>
  <c r="D205" i="5"/>
  <c r="C205" i="5"/>
  <c r="B205" i="5"/>
  <c r="A205" i="5"/>
  <c r="J204" i="5"/>
  <c r="D204" i="5"/>
  <c r="C204" i="5"/>
  <c r="B204" i="5"/>
  <c r="A204" i="5"/>
  <c r="J203" i="5"/>
  <c r="D203" i="5"/>
  <c r="C203" i="5"/>
  <c r="B203" i="5"/>
  <c r="A203" i="5"/>
  <c r="J202" i="5"/>
  <c r="D202" i="5"/>
  <c r="C202" i="5"/>
  <c r="B202" i="5"/>
  <c r="A202" i="5"/>
  <c r="J201" i="5"/>
  <c r="D201" i="5"/>
  <c r="C201" i="5"/>
  <c r="B201" i="5"/>
  <c r="A201" i="5"/>
  <c r="J200" i="5"/>
  <c r="D200" i="5"/>
  <c r="C200" i="5"/>
  <c r="B200" i="5"/>
  <c r="A200" i="5"/>
  <c r="J199" i="5"/>
  <c r="D199" i="5"/>
  <c r="C199" i="5"/>
  <c r="B199" i="5"/>
  <c r="A199" i="5"/>
  <c r="J198" i="5"/>
  <c r="D198" i="5"/>
  <c r="C198" i="5"/>
  <c r="B198" i="5"/>
  <c r="A198" i="5"/>
  <c r="J197" i="5"/>
  <c r="D197" i="5"/>
  <c r="C197" i="5"/>
  <c r="B197" i="5"/>
  <c r="A197" i="5"/>
  <c r="J196" i="5"/>
  <c r="D196" i="5"/>
  <c r="C196" i="5"/>
  <c r="B196" i="5"/>
  <c r="A196" i="5"/>
  <c r="J195" i="5"/>
  <c r="D195" i="5"/>
  <c r="C195" i="5"/>
  <c r="B195" i="5"/>
  <c r="A195" i="5"/>
  <c r="J194" i="5"/>
  <c r="D194" i="5"/>
  <c r="C194" i="5"/>
  <c r="B194" i="5"/>
  <c r="A194" i="5"/>
  <c r="J193" i="5"/>
  <c r="D193" i="5"/>
  <c r="C193" i="5"/>
  <c r="B193" i="5"/>
  <c r="A193" i="5"/>
  <c r="J192" i="5"/>
  <c r="D192" i="5"/>
  <c r="C192" i="5"/>
  <c r="B192" i="5"/>
  <c r="A192" i="5"/>
  <c r="J191" i="5"/>
  <c r="D191" i="5"/>
  <c r="C191" i="5"/>
  <c r="B191" i="5"/>
  <c r="A191" i="5"/>
  <c r="J190" i="5"/>
  <c r="D190" i="5"/>
  <c r="C190" i="5"/>
  <c r="B190" i="5"/>
  <c r="A190" i="5"/>
  <c r="J189" i="5"/>
  <c r="D189" i="5"/>
  <c r="C189" i="5"/>
  <c r="B189" i="5"/>
  <c r="A189" i="5"/>
  <c r="J188" i="5"/>
  <c r="D188" i="5"/>
  <c r="C188" i="5"/>
  <c r="B188" i="5"/>
  <c r="A188" i="5"/>
  <c r="J187" i="5"/>
  <c r="D187" i="5"/>
  <c r="C187" i="5"/>
  <c r="B187" i="5"/>
  <c r="A187" i="5"/>
  <c r="J186" i="5"/>
  <c r="D186" i="5"/>
  <c r="C186" i="5"/>
  <c r="B186" i="5"/>
  <c r="A186" i="5"/>
  <c r="J185" i="5"/>
  <c r="D185" i="5"/>
  <c r="C185" i="5"/>
  <c r="B185" i="5"/>
  <c r="A185" i="5"/>
  <c r="J184" i="5"/>
  <c r="D184" i="5"/>
  <c r="C184" i="5"/>
  <c r="B184" i="5"/>
  <c r="A184" i="5"/>
  <c r="J183" i="5"/>
  <c r="D183" i="5"/>
  <c r="C183" i="5"/>
  <c r="B183" i="5"/>
  <c r="A183" i="5"/>
  <c r="J182" i="5"/>
  <c r="D182" i="5"/>
  <c r="C182" i="5"/>
  <c r="B182" i="5"/>
  <c r="A182" i="5"/>
  <c r="J181" i="5"/>
  <c r="D181" i="5"/>
  <c r="C181" i="5"/>
  <c r="B181" i="5"/>
  <c r="A181" i="5"/>
  <c r="J180" i="5"/>
  <c r="D180" i="5"/>
  <c r="C180" i="5"/>
  <c r="B180" i="5"/>
  <c r="A180" i="5"/>
  <c r="J179" i="5"/>
  <c r="D179" i="5"/>
  <c r="C179" i="5"/>
  <c r="B179" i="5"/>
  <c r="A179" i="5"/>
  <c r="J178" i="5"/>
  <c r="D178" i="5"/>
  <c r="C178" i="5"/>
  <c r="B178" i="5"/>
  <c r="A178" i="5"/>
  <c r="J177" i="5"/>
  <c r="D177" i="5"/>
  <c r="C177" i="5"/>
  <c r="B177" i="5"/>
  <c r="A177" i="5"/>
  <c r="J176" i="5"/>
  <c r="D176" i="5"/>
  <c r="C176" i="5"/>
  <c r="B176" i="5"/>
  <c r="A176" i="5"/>
  <c r="J175" i="5"/>
  <c r="D175" i="5"/>
  <c r="C175" i="5"/>
  <c r="B175" i="5"/>
  <c r="A175" i="5"/>
  <c r="J174" i="5"/>
  <c r="D174" i="5"/>
  <c r="C174" i="5"/>
  <c r="B174" i="5"/>
  <c r="A174" i="5"/>
  <c r="J173" i="5"/>
  <c r="D173" i="5"/>
  <c r="C173" i="5"/>
  <c r="B173" i="5"/>
  <c r="A173" i="5"/>
  <c r="J172" i="5"/>
  <c r="D172" i="5"/>
  <c r="C172" i="5"/>
  <c r="B172" i="5"/>
  <c r="A172" i="5"/>
  <c r="J171" i="5"/>
  <c r="D171" i="5"/>
  <c r="C171" i="5"/>
  <c r="B171" i="5"/>
  <c r="A171" i="5"/>
  <c r="J170" i="5"/>
  <c r="D170" i="5"/>
  <c r="C170" i="5"/>
  <c r="B170" i="5"/>
  <c r="A170" i="5"/>
  <c r="J169" i="5"/>
  <c r="D169" i="5"/>
  <c r="C169" i="5"/>
  <c r="B169" i="5"/>
  <c r="A169" i="5"/>
  <c r="J168" i="5"/>
  <c r="D168" i="5"/>
  <c r="C168" i="5"/>
  <c r="B168" i="5"/>
  <c r="A168" i="5"/>
  <c r="J167" i="5"/>
  <c r="D167" i="5"/>
  <c r="C167" i="5"/>
  <c r="B167" i="5"/>
  <c r="A167" i="5"/>
  <c r="J166" i="5"/>
  <c r="D166" i="5"/>
  <c r="C166" i="5"/>
  <c r="B166" i="5"/>
  <c r="A166" i="5"/>
  <c r="J165" i="5"/>
  <c r="D165" i="5"/>
  <c r="C165" i="5"/>
  <c r="B165" i="5"/>
  <c r="A165" i="5"/>
  <c r="J164" i="5"/>
  <c r="D164" i="5"/>
  <c r="C164" i="5"/>
  <c r="B164" i="5"/>
  <c r="A164" i="5"/>
  <c r="J163" i="5"/>
  <c r="D163" i="5"/>
  <c r="C163" i="5"/>
  <c r="B163" i="5"/>
  <c r="A163" i="5"/>
  <c r="J162" i="5"/>
  <c r="D162" i="5"/>
  <c r="C162" i="5"/>
  <c r="B162" i="5"/>
  <c r="A162" i="5"/>
  <c r="J161" i="5"/>
  <c r="D161" i="5"/>
  <c r="C161" i="5"/>
  <c r="B161" i="5"/>
  <c r="A161" i="5"/>
  <c r="J160" i="5"/>
  <c r="D160" i="5"/>
  <c r="C160" i="5"/>
  <c r="B160" i="5"/>
  <c r="A160" i="5"/>
  <c r="J159" i="5"/>
  <c r="D159" i="5"/>
  <c r="C159" i="5"/>
  <c r="B159" i="5"/>
  <c r="A159" i="5"/>
  <c r="J158" i="5"/>
  <c r="D158" i="5"/>
  <c r="C158" i="5"/>
  <c r="B158" i="5"/>
  <c r="A158" i="5"/>
  <c r="J157" i="5"/>
  <c r="D157" i="5"/>
  <c r="C157" i="5"/>
  <c r="B157" i="5"/>
  <c r="A157" i="5"/>
  <c r="J156" i="5"/>
  <c r="D156" i="5"/>
  <c r="C156" i="5"/>
  <c r="B156" i="5"/>
  <c r="A156" i="5"/>
  <c r="J155" i="5"/>
  <c r="D155" i="5"/>
  <c r="C155" i="5"/>
  <c r="B155" i="5"/>
  <c r="A155" i="5"/>
  <c r="J154" i="5"/>
  <c r="D154" i="5"/>
  <c r="C154" i="5"/>
  <c r="B154" i="5"/>
  <c r="A154" i="5"/>
  <c r="J153" i="5"/>
  <c r="D153" i="5"/>
  <c r="C153" i="5"/>
  <c r="B153" i="5"/>
  <c r="A153" i="5"/>
  <c r="J152" i="5"/>
  <c r="D152" i="5"/>
  <c r="C152" i="5"/>
  <c r="B152" i="5"/>
  <c r="A152" i="5"/>
  <c r="J151" i="5"/>
  <c r="D151" i="5"/>
  <c r="C151" i="5"/>
  <c r="B151" i="5"/>
  <c r="A151" i="5"/>
  <c r="J150" i="5"/>
  <c r="D150" i="5"/>
  <c r="C150" i="5"/>
  <c r="B150" i="5"/>
  <c r="A150" i="5"/>
  <c r="J149" i="5"/>
  <c r="D149" i="5"/>
  <c r="C149" i="5"/>
  <c r="B149" i="5"/>
  <c r="A149" i="5"/>
  <c r="J148" i="5"/>
  <c r="D148" i="5"/>
  <c r="C148" i="5"/>
  <c r="B148" i="5"/>
  <c r="A148" i="5"/>
  <c r="J147" i="5"/>
  <c r="D147" i="5"/>
  <c r="C147" i="5"/>
  <c r="B147" i="5"/>
  <c r="A147" i="5"/>
  <c r="J146" i="5"/>
  <c r="D146" i="5"/>
  <c r="C146" i="5"/>
  <c r="B146" i="5"/>
  <c r="A146" i="5"/>
  <c r="J145" i="5"/>
  <c r="D145" i="5"/>
  <c r="C145" i="5"/>
  <c r="B145" i="5"/>
  <c r="A145" i="5"/>
  <c r="J144" i="5"/>
  <c r="D144" i="5"/>
  <c r="C144" i="5"/>
  <c r="B144" i="5"/>
  <c r="A144" i="5"/>
  <c r="J143" i="5"/>
  <c r="D143" i="5"/>
  <c r="C143" i="5"/>
  <c r="B143" i="5"/>
  <c r="A143" i="5"/>
  <c r="J142" i="5"/>
  <c r="D142" i="5"/>
  <c r="C142" i="5"/>
  <c r="B142" i="5"/>
  <c r="A142" i="5"/>
  <c r="J141" i="5"/>
  <c r="D141" i="5"/>
  <c r="C141" i="5"/>
  <c r="B141" i="5"/>
  <c r="A141" i="5"/>
  <c r="J140" i="5"/>
  <c r="D140" i="5"/>
  <c r="C140" i="5"/>
  <c r="B140" i="5"/>
  <c r="A140" i="5"/>
  <c r="J139" i="5"/>
  <c r="D139" i="5"/>
  <c r="C139" i="5"/>
  <c r="B139" i="5"/>
  <c r="A139" i="5"/>
  <c r="J138" i="5"/>
  <c r="D138" i="5"/>
  <c r="C138" i="5"/>
  <c r="B138" i="5"/>
  <c r="A138" i="5"/>
  <c r="J137" i="5"/>
  <c r="D137" i="5"/>
  <c r="C137" i="5"/>
  <c r="B137" i="5"/>
  <c r="A137" i="5"/>
  <c r="J136" i="5"/>
  <c r="D136" i="5"/>
  <c r="C136" i="5"/>
  <c r="B136" i="5"/>
  <c r="A136" i="5"/>
  <c r="J135" i="5"/>
  <c r="D135" i="5"/>
  <c r="C135" i="5"/>
  <c r="B135" i="5"/>
  <c r="A135" i="5"/>
  <c r="J134" i="5"/>
  <c r="D134" i="5"/>
  <c r="C134" i="5"/>
  <c r="B134" i="5"/>
  <c r="A134" i="5"/>
  <c r="J133" i="5"/>
  <c r="D133" i="5"/>
  <c r="C133" i="5"/>
  <c r="B133" i="5"/>
  <c r="A133" i="5"/>
  <c r="J132" i="5"/>
  <c r="D132" i="5"/>
  <c r="C132" i="5"/>
  <c r="B132" i="5"/>
  <c r="A132" i="5"/>
  <c r="J131" i="5"/>
  <c r="D131" i="5"/>
  <c r="C131" i="5"/>
  <c r="B131" i="5"/>
  <c r="A131" i="5"/>
  <c r="J130" i="5"/>
  <c r="D130" i="5"/>
  <c r="C130" i="5"/>
  <c r="B130" i="5"/>
  <c r="A130" i="5"/>
  <c r="J129" i="5"/>
  <c r="D129" i="5"/>
  <c r="C129" i="5"/>
  <c r="B129" i="5"/>
  <c r="A129" i="5"/>
  <c r="J128" i="5"/>
  <c r="D128" i="5"/>
  <c r="C128" i="5"/>
  <c r="B128" i="5"/>
  <c r="A128" i="5"/>
  <c r="J127" i="5"/>
  <c r="D127" i="5"/>
  <c r="C127" i="5"/>
  <c r="B127" i="5"/>
  <c r="A127" i="5"/>
  <c r="J126" i="5"/>
  <c r="D126" i="5"/>
  <c r="C126" i="5"/>
  <c r="B126" i="5"/>
  <c r="A126" i="5"/>
  <c r="J125" i="5"/>
  <c r="D125" i="5"/>
  <c r="C125" i="5"/>
  <c r="B125" i="5"/>
  <c r="A125" i="5"/>
  <c r="J124" i="5"/>
  <c r="D124" i="5"/>
  <c r="C124" i="5"/>
  <c r="B124" i="5"/>
  <c r="A124" i="5"/>
  <c r="J123" i="5"/>
  <c r="D123" i="5"/>
  <c r="C123" i="5"/>
  <c r="B123" i="5"/>
  <c r="A123" i="5"/>
  <c r="J122" i="5"/>
  <c r="D122" i="5"/>
  <c r="C122" i="5"/>
  <c r="B122" i="5"/>
  <c r="A122" i="5"/>
  <c r="J121" i="5"/>
  <c r="D121" i="5"/>
  <c r="C121" i="5"/>
  <c r="B121" i="5"/>
  <c r="A121" i="5"/>
  <c r="J120" i="5"/>
  <c r="D120" i="5"/>
  <c r="C120" i="5"/>
  <c r="B120" i="5"/>
  <c r="A120" i="5"/>
  <c r="J119" i="5"/>
  <c r="D119" i="5"/>
  <c r="C119" i="5"/>
  <c r="B119" i="5"/>
  <c r="A119" i="5"/>
  <c r="J118" i="5"/>
  <c r="D118" i="5"/>
  <c r="C118" i="5"/>
  <c r="B118" i="5"/>
  <c r="A118" i="5"/>
  <c r="J117" i="5"/>
  <c r="D117" i="5"/>
  <c r="C117" i="5"/>
  <c r="B117" i="5"/>
  <c r="A117" i="5"/>
  <c r="J116" i="5"/>
  <c r="D116" i="5"/>
  <c r="C116" i="5"/>
  <c r="B116" i="5"/>
  <c r="A116" i="5"/>
  <c r="J115" i="5"/>
  <c r="D115" i="5"/>
  <c r="C115" i="5"/>
  <c r="B115" i="5"/>
  <c r="A115" i="5"/>
  <c r="J114" i="5"/>
  <c r="D114" i="5"/>
  <c r="C114" i="5"/>
  <c r="B114" i="5"/>
  <c r="A114" i="5"/>
  <c r="J113" i="5"/>
  <c r="D113" i="5"/>
  <c r="C113" i="5"/>
  <c r="B113" i="5"/>
  <c r="A113" i="5"/>
  <c r="J112" i="5"/>
  <c r="D112" i="5"/>
  <c r="C112" i="5"/>
  <c r="B112" i="5"/>
  <c r="A112" i="5"/>
  <c r="J111" i="5"/>
  <c r="D111" i="5"/>
  <c r="C111" i="5"/>
  <c r="B111" i="5"/>
  <c r="A111" i="5"/>
  <c r="J110" i="5"/>
  <c r="D110" i="5"/>
  <c r="C110" i="5"/>
  <c r="B110" i="5"/>
  <c r="A110" i="5"/>
  <c r="J109" i="5"/>
  <c r="D109" i="5"/>
  <c r="C109" i="5"/>
  <c r="B109" i="5"/>
  <c r="A109" i="5"/>
  <c r="J108" i="5"/>
  <c r="D108" i="5"/>
  <c r="C108" i="5"/>
  <c r="B108" i="5"/>
  <c r="A108" i="5"/>
  <c r="J107" i="5"/>
  <c r="D107" i="5"/>
  <c r="C107" i="5"/>
  <c r="B107" i="5"/>
  <c r="A107" i="5"/>
  <c r="J106" i="5"/>
  <c r="D106" i="5"/>
  <c r="C106" i="5"/>
  <c r="B106" i="5"/>
  <c r="A106" i="5"/>
  <c r="J105" i="5"/>
  <c r="D105" i="5"/>
  <c r="C105" i="5"/>
  <c r="B105" i="5"/>
  <c r="A105" i="5"/>
  <c r="J104" i="5"/>
  <c r="D104" i="5"/>
  <c r="C104" i="5"/>
  <c r="B104" i="5"/>
  <c r="A104" i="5"/>
  <c r="J103" i="5"/>
  <c r="D103" i="5"/>
  <c r="C103" i="5"/>
  <c r="B103" i="5"/>
  <c r="A103" i="5"/>
  <c r="J102" i="5"/>
  <c r="D102" i="5"/>
  <c r="C102" i="5"/>
  <c r="B102" i="5"/>
  <c r="A102" i="5"/>
  <c r="J101" i="5"/>
  <c r="D101" i="5"/>
  <c r="C101" i="5"/>
  <c r="B101" i="5"/>
  <c r="A101" i="5"/>
  <c r="J100" i="5"/>
  <c r="D100" i="5"/>
  <c r="C100" i="5"/>
  <c r="B100" i="5"/>
  <c r="A100" i="5"/>
  <c r="J99" i="5"/>
  <c r="D99" i="5"/>
  <c r="C99" i="5"/>
  <c r="B99" i="5"/>
  <c r="A99" i="5"/>
  <c r="J98" i="5"/>
  <c r="D98" i="5"/>
  <c r="C98" i="5"/>
  <c r="B98" i="5"/>
  <c r="A98" i="5"/>
  <c r="J97" i="5"/>
  <c r="D97" i="5"/>
  <c r="C97" i="5"/>
  <c r="B97" i="5"/>
  <c r="A97" i="5"/>
  <c r="J96" i="5"/>
  <c r="D96" i="5"/>
  <c r="C96" i="5"/>
  <c r="B96" i="5"/>
  <c r="A96" i="5"/>
  <c r="J95" i="5"/>
  <c r="D95" i="5"/>
  <c r="C95" i="5"/>
  <c r="B95" i="5"/>
  <c r="A95" i="5"/>
  <c r="J94" i="5"/>
  <c r="D94" i="5"/>
  <c r="C94" i="5"/>
  <c r="B94" i="5"/>
  <c r="A94" i="5"/>
  <c r="J93" i="5"/>
  <c r="D93" i="5"/>
  <c r="C93" i="5"/>
  <c r="B93" i="5"/>
  <c r="A93" i="5"/>
  <c r="J92" i="5"/>
  <c r="D92" i="5"/>
  <c r="C92" i="5"/>
  <c r="B92" i="5"/>
  <c r="A92" i="5"/>
  <c r="J91" i="5"/>
  <c r="D91" i="5"/>
  <c r="C91" i="5"/>
  <c r="B91" i="5"/>
  <c r="A91" i="5"/>
  <c r="J90" i="5"/>
  <c r="D90" i="5"/>
  <c r="C90" i="5"/>
  <c r="B90" i="5"/>
  <c r="A90" i="5"/>
  <c r="J89" i="5"/>
  <c r="D89" i="5"/>
  <c r="C89" i="5"/>
  <c r="B89" i="5"/>
  <c r="A89" i="5"/>
  <c r="J88" i="5"/>
  <c r="D88" i="5"/>
  <c r="C88" i="5"/>
  <c r="B88" i="5"/>
  <c r="A88" i="5"/>
  <c r="J87" i="5"/>
  <c r="D87" i="5"/>
  <c r="C87" i="5"/>
  <c r="B87" i="5"/>
  <c r="A87" i="5"/>
  <c r="J86" i="5"/>
  <c r="D86" i="5"/>
  <c r="C86" i="5"/>
  <c r="B86" i="5"/>
  <c r="A86" i="5"/>
  <c r="J85" i="5"/>
  <c r="D85" i="5"/>
  <c r="C85" i="5"/>
  <c r="B85" i="5"/>
  <c r="A85" i="5"/>
  <c r="J84" i="5"/>
  <c r="D84" i="5"/>
  <c r="C84" i="5"/>
  <c r="B84" i="5"/>
  <c r="A84" i="5"/>
  <c r="J83" i="5"/>
  <c r="D83" i="5"/>
  <c r="C83" i="5"/>
  <c r="B83" i="5"/>
  <c r="A83" i="5"/>
  <c r="J82" i="5"/>
  <c r="D82" i="5"/>
  <c r="C82" i="5"/>
  <c r="B82" i="5"/>
  <c r="A82" i="5"/>
  <c r="J81" i="5"/>
  <c r="D81" i="5"/>
  <c r="C81" i="5"/>
  <c r="B81" i="5"/>
  <c r="A81" i="5"/>
  <c r="J80" i="5"/>
  <c r="D80" i="5"/>
  <c r="C80" i="5"/>
  <c r="B80" i="5"/>
  <c r="A80" i="5"/>
  <c r="J79" i="5"/>
  <c r="J78" i="5"/>
  <c r="D78" i="5"/>
  <c r="C78" i="5"/>
  <c r="B78" i="5"/>
  <c r="A78" i="5"/>
  <c r="J77" i="5"/>
  <c r="D77" i="5"/>
  <c r="C77" i="5"/>
  <c r="B77" i="5"/>
  <c r="A77" i="5"/>
  <c r="J76" i="5"/>
  <c r="D76" i="5"/>
  <c r="C76" i="5"/>
  <c r="B76" i="5"/>
  <c r="A76" i="5"/>
  <c r="J75" i="5"/>
  <c r="D75" i="5"/>
  <c r="C75" i="5"/>
  <c r="B75" i="5"/>
  <c r="A75" i="5"/>
  <c r="J74" i="5"/>
  <c r="D74" i="5"/>
  <c r="C74" i="5"/>
  <c r="B74" i="5"/>
  <c r="A74" i="5"/>
  <c r="J73" i="5"/>
  <c r="D73" i="5"/>
  <c r="C73" i="5"/>
  <c r="B73" i="5"/>
  <c r="A73" i="5"/>
  <c r="J72" i="5"/>
  <c r="D72" i="5"/>
  <c r="C72" i="5"/>
  <c r="B72" i="5"/>
  <c r="A72" i="5"/>
  <c r="J71" i="5"/>
  <c r="D71" i="5"/>
  <c r="C71" i="5"/>
  <c r="B71" i="5"/>
  <c r="A71" i="5"/>
  <c r="J70" i="5"/>
  <c r="D70" i="5"/>
  <c r="C70" i="5"/>
  <c r="B70" i="5"/>
  <c r="A70" i="5"/>
  <c r="J69" i="5"/>
  <c r="D69" i="5"/>
  <c r="C69" i="5"/>
  <c r="B69" i="5"/>
  <c r="A69" i="5"/>
  <c r="J68" i="5"/>
  <c r="D68" i="5"/>
  <c r="C68" i="5"/>
  <c r="B68" i="5"/>
  <c r="A68" i="5"/>
  <c r="J67" i="5"/>
  <c r="D67" i="5"/>
  <c r="C67" i="5"/>
  <c r="B67" i="5"/>
  <c r="A67" i="5"/>
  <c r="J66" i="5"/>
  <c r="D66" i="5"/>
  <c r="C66" i="5"/>
  <c r="B66" i="5"/>
  <c r="A66" i="5"/>
  <c r="J65" i="5"/>
  <c r="D65" i="5"/>
  <c r="C65" i="5"/>
  <c r="B65" i="5"/>
  <c r="A65" i="5"/>
  <c r="J64" i="5"/>
  <c r="D64" i="5"/>
  <c r="C64" i="5"/>
  <c r="B64" i="5"/>
  <c r="A64" i="5"/>
  <c r="J63" i="5"/>
  <c r="D63" i="5"/>
  <c r="C63" i="5"/>
  <c r="B63" i="5"/>
  <c r="A63" i="5"/>
  <c r="J62" i="5"/>
  <c r="D62" i="5"/>
  <c r="C62" i="5"/>
  <c r="B62" i="5"/>
  <c r="A62" i="5"/>
  <c r="J61" i="5"/>
  <c r="D61" i="5"/>
  <c r="C61" i="5"/>
  <c r="B61" i="5"/>
  <c r="A61" i="5"/>
  <c r="J60" i="5"/>
  <c r="D60" i="5"/>
  <c r="C60" i="5"/>
  <c r="B60" i="5"/>
  <c r="A60" i="5"/>
  <c r="J59" i="5"/>
  <c r="C59" i="5"/>
  <c r="A59" i="5"/>
  <c r="J58" i="5"/>
  <c r="D58" i="5"/>
  <c r="C58" i="5"/>
  <c r="B58" i="5"/>
  <c r="A58" i="5"/>
  <c r="J57" i="5"/>
  <c r="D57" i="5"/>
  <c r="C57" i="5"/>
  <c r="B57" i="5"/>
  <c r="A57" i="5"/>
  <c r="J56" i="5"/>
  <c r="D56" i="5"/>
  <c r="C56" i="5"/>
  <c r="B56" i="5"/>
  <c r="A56" i="5"/>
  <c r="J55" i="5"/>
  <c r="D55" i="5"/>
  <c r="C55" i="5"/>
  <c r="B55" i="5"/>
  <c r="A55" i="5"/>
  <c r="J54" i="5"/>
  <c r="D54" i="5"/>
  <c r="C54" i="5"/>
  <c r="B54" i="5"/>
  <c r="A54" i="5"/>
  <c r="J53" i="5"/>
  <c r="D53" i="5"/>
  <c r="C53" i="5"/>
  <c r="B53" i="5"/>
  <c r="A53" i="5"/>
  <c r="J52" i="5"/>
  <c r="D52" i="5"/>
  <c r="C52" i="5"/>
  <c r="B52" i="5"/>
  <c r="A52" i="5"/>
  <c r="J51" i="5"/>
  <c r="D51" i="5"/>
  <c r="C51" i="5"/>
  <c r="B51" i="5"/>
  <c r="A51" i="5"/>
  <c r="J50" i="5"/>
  <c r="D50" i="5"/>
  <c r="C50" i="5"/>
  <c r="B50" i="5"/>
  <c r="A50" i="5"/>
  <c r="J49" i="5"/>
  <c r="D49" i="5"/>
  <c r="C49" i="5"/>
  <c r="B49" i="5"/>
  <c r="A49" i="5"/>
  <c r="J48" i="5"/>
  <c r="D48" i="5"/>
  <c r="C48" i="5"/>
  <c r="B48" i="5"/>
  <c r="A48" i="5"/>
  <c r="J47" i="5"/>
  <c r="D47" i="5"/>
  <c r="C47" i="5"/>
  <c r="B47" i="5"/>
  <c r="A47" i="5"/>
  <c r="J46" i="5"/>
  <c r="D46" i="5"/>
  <c r="C46" i="5"/>
  <c r="B46" i="5"/>
  <c r="A46" i="5"/>
  <c r="J45" i="5"/>
  <c r="F42" i="5" s="1"/>
  <c r="D45" i="5"/>
  <c r="C45" i="5"/>
  <c r="B45" i="5"/>
  <c r="A45" i="5"/>
  <c r="J44" i="5"/>
  <c r="D44" i="5"/>
  <c r="C44" i="5"/>
  <c r="B44" i="5"/>
  <c r="A44" i="5"/>
  <c r="C41" i="5"/>
  <c r="F40" i="5"/>
  <c r="C40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1" i="5"/>
  <c r="H20" i="5"/>
  <c r="H19" i="5"/>
  <c r="H18" i="5"/>
  <c r="B5" i="3" s="1"/>
  <c r="H17" i="5"/>
  <c r="H16" i="5"/>
  <c r="H15" i="5"/>
  <c r="H14" i="5"/>
  <c r="H13" i="5"/>
  <c r="H12" i="5"/>
  <c r="H11" i="5"/>
  <c r="H10" i="5"/>
  <c r="B3" i="3" s="1"/>
  <c r="H9" i="5"/>
  <c r="H8" i="5"/>
  <c r="H7" i="5"/>
  <c r="H6" i="5"/>
  <c r="H5" i="5"/>
  <c r="H4" i="5"/>
  <c r="H3" i="5"/>
  <c r="H40" i="5" s="1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F8" i="3"/>
  <c r="E8" i="3"/>
  <c r="D8" i="3"/>
  <c r="C8" i="3"/>
  <c r="B8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E7" i="3"/>
  <c r="D7" i="3"/>
  <c r="C7" i="3"/>
  <c r="B7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B6" i="3"/>
  <c r="V5" i="3"/>
  <c r="U5" i="3"/>
  <c r="T5" i="3"/>
  <c r="S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B4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V2" i="3"/>
  <c r="V17" i="3" s="1"/>
  <c r="U2" i="3"/>
  <c r="U17" i="3" s="1"/>
  <c r="T2" i="3"/>
  <c r="T17" i="3" s="1"/>
  <c r="S2" i="3"/>
  <c r="S17" i="3" s="1"/>
  <c r="R2" i="3"/>
  <c r="R17" i="3" s="1"/>
  <c r="Q2" i="3"/>
  <c r="Q17" i="3" s="1"/>
  <c r="P2" i="3"/>
  <c r="O2" i="3"/>
  <c r="O17" i="3" s="1"/>
  <c r="N2" i="3"/>
  <c r="N17" i="3" s="1"/>
  <c r="M2" i="3"/>
  <c r="M17" i="3" s="1"/>
  <c r="L2" i="3"/>
  <c r="L17" i="3" s="1"/>
  <c r="K2" i="3"/>
  <c r="K17" i="3" s="1"/>
  <c r="J2" i="3"/>
  <c r="I2" i="3"/>
  <c r="H2" i="3"/>
  <c r="G2" i="3"/>
  <c r="F2" i="3"/>
  <c r="E2" i="3"/>
  <c r="D2" i="3"/>
  <c r="C2" i="3"/>
  <c r="B2" i="3"/>
  <c r="Q18" i="3"/>
  <c r="I18" i="3"/>
  <c r="P18" i="3"/>
  <c r="H18" i="3"/>
  <c r="O18" i="3"/>
  <c r="G18" i="3"/>
  <c r="V18" i="3"/>
  <c r="N18" i="3"/>
  <c r="F18" i="3"/>
  <c r="U18" i="3"/>
  <c r="M18" i="3"/>
  <c r="E18" i="3"/>
  <c r="T18" i="3"/>
  <c r="L18" i="3"/>
  <c r="D18" i="3"/>
  <c r="S18" i="3"/>
  <c r="K18" i="3"/>
  <c r="C18" i="3"/>
  <c r="R18" i="3"/>
  <c r="J18" i="3"/>
  <c r="B18" i="3"/>
  <c r="I17" i="3" l="1"/>
  <c r="B17" i="3"/>
  <c r="J17" i="3"/>
  <c r="H17" i="3"/>
  <c r="P17" i="3"/>
  <c r="F17" i="3"/>
  <c r="C17" i="3"/>
  <c r="E17" i="3"/>
  <c r="G17" i="3"/>
  <c r="D17" i="3"/>
  <c r="C39" i="13" l="1"/>
  <c r="C42" i="13" l="1"/>
  <c r="H41" i="13"/>
  <c r="F41" i="13" l="1"/>
  <c r="D120" i="13"/>
  <c r="D43" i="13"/>
  <c r="C39" i="12" s="1"/>
  <c r="B43" i="13"/>
  <c r="B120" i="13"/>
  <c r="C42" i="12" l="1"/>
  <c r="H41" i="12"/>
  <c r="D43" i="12" l="1"/>
  <c r="C39" i="11" s="1"/>
  <c r="B43" i="12"/>
  <c r="D134" i="12"/>
  <c r="B134" i="12"/>
  <c r="F41" i="12"/>
  <c r="H41" i="11" l="1"/>
  <c r="C42" i="11"/>
  <c r="B137" i="11" l="1"/>
  <c r="F41" i="11"/>
  <c r="D43" i="11"/>
  <c r="C39" i="10" s="1"/>
  <c r="B43" i="11"/>
  <c r="D137" i="11"/>
  <c r="C42" i="10" l="1"/>
  <c r="H41" i="10"/>
  <c r="B43" i="10" l="1"/>
  <c r="D44" i="10"/>
  <c r="F41" i="10"/>
  <c r="D130" i="10"/>
  <c r="B44" i="10"/>
  <c r="B130" i="10"/>
  <c r="D43" i="10"/>
  <c r="C39" i="9" s="1"/>
  <c r="C42" i="9" l="1"/>
  <c r="H41" i="9"/>
  <c r="B44" i="9" l="1"/>
  <c r="D157" i="9"/>
  <c r="D43" i="9"/>
  <c r="B157" i="9"/>
  <c r="B43" i="9"/>
  <c r="D44" i="9"/>
  <c r="C39" i="8" s="1"/>
  <c r="F41" i="9"/>
  <c r="C42" i="8" l="1"/>
  <c r="H41" i="8"/>
  <c r="B43" i="8" l="1"/>
  <c r="B156" i="8"/>
  <c r="D44" i="8"/>
  <c r="F41" i="8"/>
  <c r="B44" i="8"/>
  <c r="D156" i="8"/>
  <c r="D43" i="8"/>
  <c r="C39" i="7" s="1"/>
  <c r="H41" i="7" l="1"/>
  <c r="C42" i="7"/>
  <c r="D44" i="7" l="1"/>
  <c r="F41" i="7"/>
  <c r="B44" i="7"/>
  <c r="D156" i="7"/>
  <c r="D43" i="7"/>
  <c r="C39" i="6" s="1"/>
  <c r="B43" i="7"/>
  <c r="B156" i="7"/>
  <c r="C42" i="6" l="1"/>
  <c r="H41" i="6"/>
  <c r="F41" i="6" l="1"/>
  <c r="B44" i="6"/>
  <c r="D43" i="6"/>
  <c r="C39" i="5" s="1"/>
  <c r="B43" i="6"/>
  <c r="D154" i="6"/>
  <c r="B154" i="6"/>
  <c r="D44" i="6"/>
  <c r="C42" i="5" l="1"/>
  <c r="H41" i="5"/>
  <c r="D43" i="5" l="1"/>
  <c r="D59" i="5"/>
  <c r="B43" i="5"/>
  <c r="B59" i="5"/>
  <c r="F41" i="5"/>
</calcChain>
</file>

<file path=xl/sharedStrings.xml><?xml version="1.0" encoding="utf-8"?>
<sst xmlns="http://schemas.openxmlformats.org/spreadsheetml/2006/main" count="3712" uniqueCount="454">
  <si>
    <t>Engie</t>
  </si>
  <si>
    <t>Epargne</t>
  </si>
  <si>
    <t>Colonne 1</t>
  </si>
  <si>
    <t>Septembre 2026</t>
  </si>
  <si>
    <t>Aout 2026</t>
  </si>
  <si>
    <t>Juillet 2026</t>
  </si>
  <si>
    <t>Juin 2026</t>
  </si>
  <si>
    <t>Mai 2026</t>
  </si>
  <si>
    <t>Avril 2026</t>
  </si>
  <si>
    <t>Mars 2026</t>
  </si>
  <si>
    <t>Fevrier 2026</t>
  </si>
  <si>
    <t>Janvier 2026</t>
  </si>
  <si>
    <t>Décembre 2025</t>
  </si>
  <si>
    <t>Novembre 2025</t>
  </si>
  <si>
    <t>Octobre 2025</t>
  </si>
  <si>
    <t>Septembre 2025</t>
  </si>
  <si>
    <t>Aout 2025</t>
  </si>
  <si>
    <t>Juillet 2025</t>
  </si>
  <si>
    <t>Juin 2025</t>
  </si>
  <si>
    <t>Mai 2025</t>
  </si>
  <si>
    <t>Avril 2025</t>
  </si>
  <si>
    <t>Mars 2025</t>
  </si>
  <si>
    <t>Fevrier 2025</t>
  </si>
  <si>
    <t>Janvier 2025</t>
  </si>
  <si>
    <t>Courses</t>
  </si>
  <si>
    <t>Logement</t>
  </si>
  <si>
    <t>Charges</t>
  </si>
  <si>
    <t>Recettes</t>
  </si>
  <si>
    <t>Dépenses</t>
  </si>
  <si>
    <t>Cadeau</t>
  </si>
  <si>
    <t>Salaire Pierre</t>
  </si>
  <si>
    <t>Loyer Elouen</t>
  </si>
  <si>
    <t>x</t>
  </si>
  <si>
    <t>Salaire Sterenn</t>
  </si>
  <si>
    <t>Argent de poche Elouen</t>
  </si>
  <si>
    <t>CAF</t>
  </si>
  <si>
    <t>Engie Elouen</t>
  </si>
  <si>
    <t>Argent de poche Arthur</t>
  </si>
  <si>
    <t xml:space="preserve">Prêt 25 </t>
  </si>
  <si>
    <t>Note de frais Igienair</t>
  </si>
  <si>
    <t>Prêt 15</t>
  </si>
  <si>
    <t>Remboursement Padel Edouard</t>
  </si>
  <si>
    <t>Assurances prêt</t>
  </si>
  <si>
    <t>Disney</t>
  </si>
  <si>
    <t>Internet/Téléphone</t>
  </si>
  <si>
    <t>EDF Arthur</t>
  </si>
  <si>
    <t>EkWateur</t>
  </si>
  <si>
    <t>Sosh Maison</t>
  </si>
  <si>
    <t>Sosh Ael</t>
  </si>
  <si>
    <t>Sosh Elouen</t>
  </si>
  <si>
    <t>Sosh Sterenn</t>
  </si>
  <si>
    <t>Mutuelle</t>
  </si>
  <si>
    <t>Assurances/Mutuelle</t>
  </si>
  <si>
    <t>AxaHabitation</t>
  </si>
  <si>
    <t>VW LLD</t>
  </si>
  <si>
    <t>Voiture/Déplacement</t>
  </si>
  <si>
    <t>Axa Voiture</t>
  </si>
  <si>
    <t>Suravenir Garanties Vie</t>
  </si>
  <si>
    <t>Joséphine</t>
  </si>
  <si>
    <t>Divers</t>
  </si>
  <si>
    <t>Canal Plus</t>
  </si>
  <si>
    <t>Keolis Elouen</t>
  </si>
  <si>
    <t>Apple</t>
  </si>
  <si>
    <t>Lycée</t>
  </si>
  <si>
    <t>Scolarité</t>
  </si>
  <si>
    <t>Ménage</t>
  </si>
  <si>
    <t>Urssaaf</t>
  </si>
  <si>
    <t>Cotisation Eurocompte</t>
  </si>
  <si>
    <t>Indivision</t>
  </si>
  <si>
    <t>Etat mois précédent</t>
  </si>
  <si>
    <t>Recettes fixes</t>
  </si>
  <si>
    <t>Somme dépenses prévues</t>
  </si>
  <si>
    <t>Somme dépenses réelles</t>
  </si>
  <si>
    <t>Delta moins les exceptions</t>
  </si>
  <si>
    <t>Recettes additionnelles du mois</t>
  </si>
  <si>
    <t>Reste previsionnel</t>
  </si>
  <si>
    <t>Delta du mois</t>
  </si>
  <si>
    <t>Total Recettes</t>
  </si>
  <si>
    <t>Somme dépenses non prévues</t>
  </si>
  <si>
    <t>Reste prévu</t>
  </si>
  <si>
    <t>Reste réel</t>
  </si>
  <si>
    <t>Leroy Merlin</t>
  </si>
  <si>
    <t>Vinted</t>
  </si>
  <si>
    <t>Vêtements</t>
  </si>
  <si>
    <t>Pharmacie</t>
  </si>
  <si>
    <t>Medical</t>
  </si>
  <si>
    <t>Amazon</t>
  </si>
  <si>
    <t>Leclerc</t>
  </si>
  <si>
    <t>Materiel Compresseur</t>
  </si>
  <si>
    <t>Bricolage/Travaux</t>
  </si>
  <si>
    <t>OVH Site Internet Hand</t>
  </si>
  <si>
    <t>Coiffeur Ael</t>
  </si>
  <si>
    <t>Lidl</t>
  </si>
  <si>
    <t>Cafran</t>
  </si>
  <si>
    <t>Cultura</t>
  </si>
  <si>
    <t>Plan Etabli</t>
  </si>
  <si>
    <t>Carrefour Planguenoual</t>
  </si>
  <si>
    <t>SuperU</t>
  </si>
  <si>
    <t>Loisirs</t>
  </si>
  <si>
    <t>Remboursement Leroy</t>
  </si>
  <si>
    <t>Epargne Travaux</t>
  </si>
  <si>
    <t>Remboursement Axa</t>
  </si>
  <si>
    <t>Remboursement Notaire</t>
  </si>
  <si>
    <t>Epargne Compresseur</t>
  </si>
  <si>
    <t>Scolarité Pret Arthur</t>
  </si>
  <si>
    <t>VW LDD</t>
  </si>
  <si>
    <t>St Charles</t>
  </si>
  <si>
    <t>Mademoiselle</t>
  </si>
  <si>
    <t>Maryannick</t>
  </si>
  <si>
    <t>Buvette Estivales</t>
  </si>
  <si>
    <t>Panzini</t>
  </si>
  <si>
    <t>Boulangerie</t>
  </si>
  <si>
    <t>Mr Bricolage</t>
  </si>
  <si>
    <t>ChargeMap</t>
  </si>
  <si>
    <t>Ikea</t>
  </si>
  <si>
    <t>Cigarettes</t>
  </si>
  <si>
    <t>Rory Langueux</t>
  </si>
  <si>
    <t>Marché</t>
  </si>
  <si>
    <t>Optique</t>
  </si>
  <si>
    <t>Ptit Comod</t>
  </si>
  <si>
    <t>Cube gaz</t>
  </si>
  <si>
    <t>Baramoules</t>
  </si>
  <si>
    <t>Pizza Enfants</t>
  </si>
  <si>
    <t>La Voile</t>
  </si>
  <si>
    <t>Biscuiterie</t>
  </si>
  <si>
    <t>Arthur Rennes</t>
  </si>
  <si>
    <t>Train Arthur</t>
  </si>
  <si>
    <t>Elouen Psy</t>
  </si>
  <si>
    <t>Lunette</t>
  </si>
  <si>
    <t>VSM</t>
  </si>
  <si>
    <t>PPG</t>
  </si>
  <si>
    <t>Bevan</t>
  </si>
  <si>
    <t>Cagnotte Pascal</t>
  </si>
  <si>
    <t>Librairie</t>
  </si>
  <si>
    <t>Lambr1</t>
  </si>
  <si>
    <t>Compresseur</t>
  </si>
  <si>
    <t>Global Amsterdam</t>
  </si>
  <si>
    <t>Office du Tourisme</t>
  </si>
  <si>
    <t>Cellier du Goelo</t>
  </si>
  <si>
    <t>Erquy CB</t>
  </si>
  <si>
    <t>SDVA Quilper</t>
  </si>
  <si>
    <t>Nonnet</t>
  </si>
  <si>
    <t>Apero La Voile</t>
  </si>
  <si>
    <t>Volley Tournoi</t>
  </si>
  <si>
    <t>Cafran Tregeux</t>
  </si>
  <si>
    <t>Lunettes</t>
  </si>
  <si>
    <t>Action Paimpol</t>
  </si>
  <si>
    <t>Courses via Arthur</t>
  </si>
  <si>
    <t>EDF</t>
  </si>
  <si>
    <t>VSM Tregeux</t>
  </si>
  <si>
    <t>La Fabrique</t>
  </si>
  <si>
    <t>MushNGo</t>
  </si>
  <si>
    <t>Metro Rennes</t>
  </si>
  <si>
    <t>Café CAP Gemini</t>
  </si>
  <si>
    <t>MrFroz</t>
  </si>
  <si>
    <t>Foir'Fouill</t>
  </si>
  <si>
    <t>Note de Frais Altran</t>
  </si>
  <si>
    <t>Pret Arthur Scolarité</t>
  </si>
  <si>
    <t>Cadeau copains</t>
  </si>
  <si>
    <t>Scolarité Arthur/Elouen</t>
  </si>
  <si>
    <t>Darty Arthur</t>
  </si>
  <si>
    <t>Baby Sitting Arthur</t>
  </si>
  <si>
    <t>Hello Asso Hand Licence</t>
  </si>
  <si>
    <t>Virement Impots</t>
  </si>
  <si>
    <t>Sosh Arthur</t>
  </si>
  <si>
    <t>Festival Ael</t>
  </si>
  <si>
    <t>Stamp St Brieuc</t>
  </si>
  <si>
    <t>Leclerc Arthur</t>
  </si>
  <si>
    <t>Concert</t>
  </si>
  <si>
    <t>Hand Arthur</t>
  </si>
  <si>
    <t>Feuillette Repas Tregeux</t>
  </si>
  <si>
    <t>Apero BreizhIzel</t>
  </si>
  <si>
    <t>Concert Ael</t>
  </si>
  <si>
    <t>Café CapG</t>
  </si>
  <si>
    <t>Boulangerie Rennes</t>
  </si>
  <si>
    <t>Train Pierre</t>
  </si>
  <si>
    <t>Dejeuner Rennes</t>
  </si>
  <si>
    <t>Hotel Igienair</t>
  </si>
  <si>
    <t>Buvette GrandHuit</t>
  </si>
  <si>
    <t>Shel St Gilles</t>
  </si>
  <si>
    <t>Ordures Ménagères</t>
  </si>
  <si>
    <t>Intermarché Trégeux</t>
  </si>
  <si>
    <t>Note de Frais Igienair</t>
  </si>
  <si>
    <t>Remboursement Amazon</t>
  </si>
  <si>
    <t>Padel Edouard</t>
  </si>
  <si>
    <t>Padel Didier</t>
  </si>
  <si>
    <t>Note de Frais Cap</t>
  </si>
  <si>
    <t>Mutuelle Elouen</t>
  </si>
  <si>
    <t>Remboursement MicroOnde Papa</t>
  </si>
  <si>
    <t>CPAM</t>
  </si>
  <si>
    <t>Remboursement Ael</t>
  </si>
  <si>
    <t>Multistore</t>
  </si>
  <si>
    <t>Decathlon</t>
  </si>
  <si>
    <t>Inscription Fac Elouen</t>
  </si>
  <si>
    <t>Breizh</t>
  </si>
  <si>
    <t>Galettes GDD</t>
  </si>
  <si>
    <t>Inscription Fac Arthur</t>
  </si>
  <si>
    <t>Marché Fruits</t>
  </si>
  <si>
    <t>Soins</t>
  </si>
  <si>
    <t>Frais Bancaires</t>
  </si>
  <si>
    <t>Virement Elouen</t>
  </si>
  <si>
    <t>Sport 2000</t>
  </si>
  <si>
    <t>Vélo Train</t>
  </si>
  <si>
    <t>BabySitting Arthur</t>
  </si>
  <si>
    <t>SNCF Arthur</t>
  </si>
  <si>
    <t>Carte Jeune Arthur</t>
  </si>
  <si>
    <t>Soirée Hand</t>
  </si>
  <si>
    <t>Bureau Vallée</t>
  </si>
  <si>
    <t>Tartapain Gateau Mamou</t>
  </si>
  <si>
    <t>Croquettes Oska</t>
  </si>
  <si>
    <t>Pacotille St Alban</t>
  </si>
  <si>
    <t>Nuances et Couleurs</t>
  </si>
  <si>
    <t>LeLuc Ploufragan</t>
  </si>
  <si>
    <t>La Poste Solen</t>
  </si>
  <si>
    <t>Apero Baramoules</t>
  </si>
  <si>
    <t>Machine à coudre</t>
  </si>
  <si>
    <t>Leclerc Plerin</t>
  </si>
  <si>
    <t>Virement Epargne</t>
  </si>
  <si>
    <t>Elouen</t>
  </si>
  <si>
    <t>Leclerc Ploufragan</t>
  </si>
  <si>
    <t>Trelevern</t>
  </si>
  <si>
    <t>Mignon</t>
  </si>
  <si>
    <t>Piles Appareils</t>
  </si>
  <si>
    <t>Fournil</t>
  </si>
  <si>
    <t>Mistral Ael</t>
  </si>
  <si>
    <t>Intersport</t>
  </si>
  <si>
    <t>DStockArmor</t>
  </si>
  <si>
    <t>Sarenza</t>
  </si>
  <si>
    <t>Decathlon Loan</t>
  </si>
  <si>
    <t>Carrefour</t>
  </si>
  <si>
    <t>Biscuiterie Mazé</t>
  </si>
  <si>
    <t>Vélo Ael</t>
  </si>
  <si>
    <t>L'obele</t>
  </si>
  <si>
    <t>Thé Geoffrey</t>
  </si>
  <si>
    <t>Estivales Hugo</t>
  </si>
  <si>
    <t>Estivales Ael</t>
  </si>
  <si>
    <t>Repas AG Hand</t>
  </si>
  <si>
    <t>Snack Aeroport</t>
  </si>
  <si>
    <t>Apple Arthur</t>
  </si>
  <si>
    <t>Repas Toulouse</t>
  </si>
  <si>
    <t>Virement Stephanie Trelevern</t>
  </si>
  <si>
    <t>Repas JAG Toulouse</t>
  </si>
  <si>
    <t>Fleurs Delphine</t>
  </si>
  <si>
    <t>Lecler</t>
  </si>
  <si>
    <t>Metro Toulouse</t>
  </si>
  <si>
    <t>Bar JAG</t>
  </si>
  <si>
    <t>Toilettes Toulouse</t>
  </si>
  <si>
    <t>Autoroute</t>
  </si>
  <si>
    <t>La Fabriq</t>
  </si>
  <si>
    <t>All Ocean</t>
  </si>
  <si>
    <t>Plumbago</t>
  </si>
  <si>
    <t>Coiffeur</t>
  </si>
  <si>
    <t>PDFAid</t>
  </si>
  <si>
    <t>But MicroOnde</t>
  </si>
  <si>
    <t>Cube Gaz</t>
  </si>
  <si>
    <t>Boulangerie Fanch</t>
  </si>
  <si>
    <t>Amazon Disque ponçage</t>
  </si>
  <si>
    <t>Total</t>
  </si>
  <si>
    <t>Toilettage</t>
  </si>
  <si>
    <t>PDFAID</t>
  </si>
  <si>
    <t>Bilan Fin de mois</t>
  </si>
  <si>
    <t>Remboursement Suravenir</t>
  </si>
  <si>
    <t>Note de frais CAP</t>
  </si>
  <si>
    <t>Remboursement La Redoute</t>
  </si>
  <si>
    <t>Colle Nolwenn</t>
  </si>
  <si>
    <t>Remboursement mutuelle</t>
  </si>
  <si>
    <t>Suravenir Voiture</t>
  </si>
  <si>
    <t>FoireFouille</t>
  </si>
  <si>
    <t>Decathlon Colle Hand</t>
  </si>
  <si>
    <t>Café Station</t>
  </si>
  <si>
    <t>Traversée Bac</t>
  </si>
  <si>
    <t>Station</t>
  </si>
  <si>
    <t>Bac Royan</t>
  </si>
  <si>
    <t>Grand Frais</t>
  </si>
  <si>
    <t>Dr Apel</t>
  </si>
  <si>
    <t>Pharamacie</t>
  </si>
  <si>
    <t>BAr du Bac Royan</t>
  </si>
  <si>
    <t>Avia</t>
  </si>
  <si>
    <t>La Fabrique Ploufragan</t>
  </si>
  <si>
    <t>Suravenir</t>
  </si>
  <si>
    <t>Café CAPG</t>
  </si>
  <si>
    <t>Gouter Rennes</t>
  </si>
  <si>
    <t>Train Rennes</t>
  </si>
  <si>
    <t>Commande Focus</t>
  </si>
  <si>
    <t>FDJ</t>
  </si>
  <si>
    <t>Parfum Ael</t>
  </si>
  <si>
    <t>Enceinte Ael</t>
  </si>
  <si>
    <t>Retrait Marché</t>
  </si>
  <si>
    <t>Sushi</t>
  </si>
  <si>
    <t>MArché</t>
  </si>
  <si>
    <t>Vaumadeuc</t>
  </si>
  <si>
    <t>Bisou Salé</t>
  </si>
  <si>
    <t>Leroy MErlin</t>
  </si>
  <si>
    <t>Assurance Appart Arthur</t>
  </si>
  <si>
    <t>Grain de Malice</t>
  </si>
  <si>
    <t>La Ruche</t>
  </si>
  <si>
    <t>Chèque</t>
  </si>
  <si>
    <t>Café</t>
  </si>
  <si>
    <t>Survet Ael</t>
  </si>
  <si>
    <t>Carrefour Mérignac</t>
  </si>
  <si>
    <t>Pharmacie St Sulpice</t>
  </si>
  <si>
    <t>Courses Anniversaire</t>
  </si>
  <si>
    <t>Virement Mamou</t>
  </si>
  <si>
    <t>Radio Lamballe</t>
  </si>
  <si>
    <t>Stephanie Charrier</t>
  </si>
  <si>
    <t>Suravenir Habitation</t>
  </si>
  <si>
    <t>Buvette Longe Cote</t>
  </si>
  <si>
    <t>Espèces</t>
  </si>
  <si>
    <t>Bar La Rotonde</t>
  </si>
  <si>
    <t>Leclerc Drive</t>
  </si>
  <si>
    <t>PayPlug</t>
  </si>
  <si>
    <t>Star Metro Rennes</t>
  </si>
  <si>
    <t>PPMC</t>
  </si>
  <si>
    <t>Livre Blagnac</t>
  </si>
  <si>
    <t>Remboursement Elouen</t>
  </si>
  <si>
    <t>Frais Igienair</t>
  </si>
  <si>
    <t>Remboursement Mitigeur Lidl</t>
  </si>
  <si>
    <t>Edouard Padel</t>
  </si>
  <si>
    <t>Jean Marie Raclette</t>
  </si>
  <si>
    <t>Chocolat</t>
  </si>
  <si>
    <t>Cafran Trégeux (Eau Igienair)</t>
  </si>
  <si>
    <t>Docteur Apel</t>
  </si>
  <si>
    <t>Note de Frais</t>
  </si>
  <si>
    <t xml:space="preserve">Titouan </t>
  </si>
  <si>
    <t>Mateo</t>
  </si>
  <si>
    <t>Aurel</t>
  </si>
  <si>
    <t>Sandrine</t>
  </si>
  <si>
    <t>Fred</t>
  </si>
  <si>
    <t>Edouard</t>
  </si>
  <si>
    <t>Sebastien</t>
  </si>
  <si>
    <t>Telephone Ael</t>
  </si>
  <si>
    <t>Atelier Saint Cast</t>
  </si>
  <si>
    <t>Super U Erquy</t>
  </si>
  <si>
    <t>Boucherie</t>
  </si>
  <si>
    <t>La Villa</t>
  </si>
  <si>
    <t>Cireuse qui ne marche pas Amazon</t>
  </si>
  <si>
    <t>Lavage Voiture</t>
  </si>
  <si>
    <t>Chouquettes</t>
  </si>
  <si>
    <t>Café Cap</t>
  </si>
  <si>
    <t>Coiffeur Elouen</t>
  </si>
  <si>
    <t>Librairie Lamballe</t>
  </si>
  <si>
    <t>Train Cesson</t>
  </si>
  <si>
    <t>Chocolats</t>
  </si>
  <si>
    <t>AGIOS</t>
  </si>
  <si>
    <t>Carré Gourmand</t>
  </si>
  <si>
    <t>Quartaut</t>
  </si>
  <si>
    <t>Fournil du port</t>
  </si>
  <si>
    <t>CEWE Langueux</t>
  </si>
  <si>
    <t>Feuillette Boulangerie</t>
  </si>
  <si>
    <t>Réparation Vélo</t>
  </si>
  <si>
    <t>Lidl Saint Alban</t>
  </si>
  <si>
    <t>Tartapain</t>
  </si>
  <si>
    <t>Brico Dépot</t>
  </si>
  <si>
    <t>Carrefour Val André</t>
  </si>
  <si>
    <t>Amende</t>
  </si>
  <si>
    <t>Compagnons Saisons</t>
  </si>
  <si>
    <t>Appel</t>
  </si>
  <si>
    <t>Butagaz</t>
  </si>
  <si>
    <t>Menage</t>
  </si>
  <si>
    <t>Comptabilisé Janvier</t>
  </si>
  <si>
    <t>Decathlon Elouen</t>
  </si>
  <si>
    <t>Joom</t>
  </si>
  <si>
    <t>Ordier Langueux</t>
  </si>
  <si>
    <t>Studocu</t>
  </si>
  <si>
    <t>Ouest Pathologie</t>
  </si>
  <si>
    <t>Fariault Lamballe</t>
  </si>
  <si>
    <t>Burger King Cesson</t>
  </si>
  <si>
    <t>Bières Hand</t>
  </si>
  <si>
    <t>Midi à Tregeux</t>
  </si>
  <si>
    <t>Fleurs</t>
  </si>
  <si>
    <t>Hand Cesson Paris Avril</t>
  </si>
  <si>
    <t>Cesson Buvette</t>
  </si>
  <si>
    <t>Train</t>
  </si>
  <si>
    <t>Supplement EuroCompte</t>
  </si>
  <si>
    <t>La Toupie</t>
  </si>
  <si>
    <t>Cremerie Raclette</t>
  </si>
  <si>
    <t>Le Redoute</t>
  </si>
  <si>
    <t>La ruche</t>
  </si>
  <si>
    <t>Super U</t>
  </si>
  <si>
    <t>Café Cesar Toulouse</t>
  </si>
  <si>
    <t>Virement Stephanie Charrier</t>
  </si>
  <si>
    <t>Billard Toulouse</t>
  </si>
  <si>
    <t>Monde du Chocolat</t>
  </si>
  <si>
    <t>Retrait</t>
  </si>
  <si>
    <t>Hand Cesson</t>
  </si>
  <si>
    <t>Piment Lamballe</t>
  </si>
  <si>
    <t>Star Metro</t>
  </si>
  <si>
    <t>PArking Les Champs</t>
  </si>
  <si>
    <t>JML Bretagne</t>
  </si>
  <si>
    <t>Buvette Coquille</t>
  </si>
  <si>
    <t>Cidrerie</t>
  </si>
  <si>
    <t>Galettes et Fourchettes</t>
  </si>
  <si>
    <t>Truffaut</t>
  </si>
  <si>
    <t>Bijouterie Paimpol</t>
  </si>
  <si>
    <t>VEterinaire</t>
  </si>
  <si>
    <t>Café capsule</t>
  </si>
  <si>
    <t>PAdel</t>
  </si>
  <si>
    <t>Librairie Renard</t>
  </si>
  <si>
    <t>Amende stationnement (Igienair)</t>
  </si>
  <si>
    <t>Bagues Paimpol</t>
  </si>
  <si>
    <t>Restaurant le Lipous</t>
  </si>
  <si>
    <t>Maison de santé Paimpol</t>
  </si>
  <si>
    <t>Pizza Piampol</t>
  </si>
  <si>
    <t>Otarie LongeCôte</t>
  </si>
  <si>
    <t>Auchan Merignac</t>
  </si>
  <si>
    <t>Leclerc Bruges</t>
  </si>
  <si>
    <t>Station Brouzils</t>
  </si>
  <si>
    <t>SoBio Merignac</t>
  </si>
  <si>
    <t>Pharmacie Accoceberry</t>
  </si>
  <si>
    <t>Carrefour Merignac</t>
  </si>
  <si>
    <t>Leroy Merignac</t>
  </si>
  <si>
    <t>Avia Café</t>
  </si>
  <si>
    <t>Avia Sandwich</t>
  </si>
  <si>
    <t>Cafran Bio Trégeux</t>
  </si>
  <si>
    <t>Arthur Divers</t>
  </si>
  <si>
    <t>Hotel Paris</t>
  </si>
  <si>
    <t>Labenne Chaussures</t>
  </si>
  <si>
    <t>Navigo</t>
  </si>
  <si>
    <t>Boulangerie Paris</t>
  </si>
  <si>
    <t>Bieres Bercy</t>
  </si>
  <si>
    <t>Mercure Apero</t>
  </si>
  <si>
    <t>Produits Coiffeur</t>
  </si>
  <si>
    <t>Kiko Milano</t>
  </si>
  <si>
    <t>Quai 16</t>
  </si>
  <si>
    <t>Palais des Thés</t>
  </si>
  <si>
    <t>BoPain Paris Sandwichs</t>
  </si>
  <si>
    <t>Hachoir manuel</t>
  </si>
  <si>
    <t>Fines Gueules</t>
  </si>
  <si>
    <t>Veterinaire</t>
  </si>
  <si>
    <t>Regularisation Engie</t>
  </si>
  <si>
    <t>Crédit Impots</t>
  </si>
  <si>
    <t>Ael Telephone</t>
  </si>
  <si>
    <t>Ael Coque</t>
  </si>
  <si>
    <t>No prélevé départ Vivinter</t>
  </si>
  <si>
    <t>Mutuelle (Vivinter)</t>
  </si>
  <si>
    <t>Le Quartaut Jeff</t>
  </si>
  <si>
    <t>Charge Voiture</t>
  </si>
  <si>
    <t>BioCoop</t>
  </si>
  <si>
    <t>Feuillate Repas Galette</t>
  </si>
  <si>
    <t>Courses Arthur</t>
  </si>
  <si>
    <t>MaxiCoffee</t>
  </si>
  <si>
    <t>Café Ploeuc</t>
  </si>
  <si>
    <t>Frais Bancaire</t>
  </si>
  <si>
    <t>Montre Ael</t>
  </si>
  <si>
    <t>Nems</t>
  </si>
  <si>
    <t>Vogue</t>
  </si>
  <si>
    <t>Cave Gourmande</t>
  </si>
  <si>
    <t>Pot Bains</t>
  </si>
  <si>
    <t>4 Murs</t>
  </si>
  <si>
    <t>BackMarket Ael</t>
  </si>
  <si>
    <t>Rhinoshield</t>
  </si>
  <si>
    <t>Dr Thebaud</t>
  </si>
  <si>
    <t>Photos</t>
  </si>
  <si>
    <t>Repas Club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</si>
</sst>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&quot; &quot;yyyy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</font>
    <font>
      <sz val="21"/>
      <color rgb="FFCC0000"/>
      <name val="Arial"/>
      <scheme val="minor"/>
    </font>
    <font>
      <sz val="9"/>
      <color rgb="FF000000"/>
      <name val="&quot;Google Sans Mono&quot;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3" fillId="4" borderId="3" xfId="0" applyFont="1" applyFill="1" applyBorder="1" applyAlignment="1">
      <alignment horizontal="right" vertical="center"/>
    </xf>
    <xf numFmtId="0" fontId="4" fillId="4" borderId="0" xfId="0" applyFont="1" applyFill="1"/>
    <xf numFmtId="0" fontId="4" fillId="4" borderId="3" xfId="0" applyFont="1" applyFill="1" applyBorder="1"/>
    <xf numFmtId="0" fontId="4" fillId="2" borderId="0" xfId="0" applyFont="1" applyFill="1"/>
    <xf numFmtId="0" fontId="4" fillId="2" borderId="2" xfId="0" applyFont="1" applyFill="1" applyBorder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Budge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Budget!$A$2</c:f>
              <c:strCache>
                <c:ptCount val="1"/>
                <c:pt idx="0">
                  <c:v>Courses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Budget!$B$1:$V$1</c:f>
              <c:strCache>
                <c:ptCount val="21"/>
                <c:pt idx="0">
                  <c:v>Septembre 2026</c:v>
                </c:pt>
                <c:pt idx="1">
                  <c:v>Aout 2026</c:v>
                </c:pt>
                <c:pt idx="2">
                  <c:v>Juillet 2026</c:v>
                </c:pt>
                <c:pt idx="3">
                  <c:v>Juin 2026</c:v>
                </c:pt>
                <c:pt idx="4">
                  <c:v>Mai 2026</c:v>
                </c:pt>
                <c:pt idx="5">
                  <c:v>Avril 2026</c:v>
                </c:pt>
                <c:pt idx="6">
                  <c:v>Mars 2026</c:v>
                </c:pt>
                <c:pt idx="7">
                  <c:v>Fevrier 2026</c:v>
                </c:pt>
                <c:pt idx="8">
                  <c:v>Janvier 2026</c:v>
                </c:pt>
                <c:pt idx="9">
                  <c:v>Décembre 2025</c:v>
                </c:pt>
                <c:pt idx="10">
                  <c:v>Novembre 2025</c:v>
                </c:pt>
                <c:pt idx="11">
                  <c:v>Octobre 2025</c:v>
                </c:pt>
                <c:pt idx="12">
                  <c:v>Septembre 2025</c:v>
                </c:pt>
                <c:pt idx="13">
                  <c:v>Aout 2025</c:v>
                </c:pt>
                <c:pt idx="14">
                  <c:v>Juillet 2025</c:v>
                </c:pt>
                <c:pt idx="15">
                  <c:v>Juin 2025</c:v>
                </c:pt>
                <c:pt idx="16">
                  <c:v>Mai 2025</c:v>
                </c:pt>
                <c:pt idx="17">
                  <c:v>Avril 2025</c:v>
                </c:pt>
                <c:pt idx="18">
                  <c:v>Mars 2025</c:v>
                </c:pt>
                <c:pt idx="19">
                  <c:v>Fevrier 2025</c:v>
                </c:pt>
                <c:pt idx="20">
                  <c:v>Janvier 2025</c:v>
                </c:pt>
              </c:strCache>
            </c:strRef>
          </c:cat>
          <c:val>
            <c:numRef>
              <c:f>Budget!$B$2:$V$2</c:f>
              <c:numCache>
                <c:formatCode>General</c:formatCode>
                <c:ptCount val="21"/>
                <c:pt idx="0">
                  <c:v>254.23</c:v>
                </c:pt>
                <c:pt idx="1">
                  <c:v>2120.0400000000004</c:v>
                </c:pt>
                <c:pt idx="2">
                  <c:v>1639.04</c:v>
                </c:pt>
                <c:pt idx="3">
                  <c:v>1872.2800000000002</c:v>
                </c:pt>
                <c:pt idx="4">
                  <c:v>2139.0300000000002</c:v>
                </c:pt>
                <c:pt idx="5">
                  <c:v>1775.5899999999997</c:v>
                </c:pt>
                <c:pt idx="6">
                  <c:v>1241.2700000000002</c:v>
                </c:pt>
                <c:pt idx="7">
                  <c:v>1544.0900000000001</c:v>
                </c:pt>
                <c:pt idx="8">
                  <c:v>1114.46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90E-4EB4-A4D7-DA5498204569}"/>
            </c:ext>
          </c:extLst>
        </c:ser>
        <c:ser>
          <c:idx val="1"/>
          <c:order val="1"/>
          <c:tx>
            <c:strRef>
              <c:f>Budget!$A$9</c:f>
              <c:strCache>
                <c:ptCount val="1"/>
                <c:pt idx="0">
                  <c:v>Vêtements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Budget!$B$1:$V$1</c:f>
              <c:strCache>
                <c:ptCount val="21"/>
                <c:pt idx="0">
                  <c:v>Septembre 2026</c:v>
                </c:pt>
                <c:pt idx="1">
                  <c:v>Aout 2026</c:v>
                </c:pt>
                <c:pt idx="2">
                  <c:v>Juillet 2026</c:v>
                </c:pt>
                <c:pt idx="3">
                  <c:v>Juin 2026</c:v>
                </c:pt>
                <c:pt idx="4">
                  <c:v>Mai 2026</c:v>
                </c:pt>
                <c:pt idx="5">
                  <c:v>Avril 2026</c:v>
                </c:pt>
                <c:pt idx="6">
                  <c:v>Mars 2026</c:v>
                </c:pt>
                <c:pt idx="7">
                  <c:v>Fevrier 2026</c:v>
                </c:pt>
                <c:pt idx="8">
                  <c:v>Janvier 2026</c:v>
                </c:pt>
                <c:pt idx="9">
                  <c:v>Décembre 2025</c:v>
                </c:pt>
                <c:pt idx="10">
                  <c:v>Novembre 2025</c:v>
                </c:pt>
                <c:pt idx="11">
                  <c:v>Octobre 2025</c:v>
                </c:pt>
                <c:pt idx="12">
                  <c:v>Septembre 2025</c:v>
                </c:pt>
                <c:pt idx="13">
                  <c:v>Aout 2025</c:v>
                </c:pt>
                <c:pt idx="14">
                  <c:v>Juillet 2025</c:v>
                </c:pt>
                <c:pt idx="15">
                  <c:v>Juin 2025</c:v>
                </c:pt>
                <c:pt idx="16">
                  <c:v>Mai 2025</c:v>
                </c:pt>
                <c:pt idx="17">
                  <c:v>Avril 2025</c:v>
                </c:pt>
                <c:pt idx="18">
                  <c:v>Mars 2025</c:v>
                </c:pt>
                <c:pt idx="19">
                  <c:v>Fevrier 2025</c:v>
                </c:pt>
                <c:pt idx="20">
                  <c:v>Janvier 2025</c:v>
                </c:pt>
              </c:strCache>
            </c:strRef>
          </c:cat>
          <c:val>
            <c:numRef>
              <c:f>Budget!$B$9:$V$9</c:f>
              <c:numCache>
                <c:formatCode>General</c:formatCode>
                <c:ptCount val="21"/>
                <c:pt idx="0">
                  <c:v>69.08</c:v>
                </c:pt>
                <c:pt idx="1">
                  <c:v>375.15999999999997</c:v>
                </c:pt>
                <c:pt idx="2">
                  <c:v>570.47</c:v>
                </c:pt>
                <c:pt idx="3">
                  <c:v>311.51</c:v>
                </c:pt>
                <c:pt idx="4">
                  <c:v>150.66000000000003</c:v>
                </c:pt>
                <c:pt idx="5">
                  <c:v>226.76999999999998</c:v>
                </c:pt>
                <c:pt idx="6">
                  <c:v>274.90000000000003</c:v>
                </c:pt>
                <c:pt idx="7">
                  <c:v>229.95</c:v>
                </c:pt>
                <c:pt idx="8">
                  <c:v>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90E-4EB4-A4D7-DA5498204569}"/>
            </c:ext>
          </c:extLst>
        </c:ser>
        <c:ser>
          <c:idx val="2"/>
          <c:order val="2"/>
          <c:tx>
            <c:strRef>
              <c:f>Budget!$A$13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strRef>
              <c:f>Budget!$B$1:$V$1</c:f>
              <c:strCache>
                <c:ptCount val="21"/>
                <c:pt idx="0">
                  <c:v>Septembre 2026</c:v>
                </c:pt>
                <c:pt idx="1">
                  <c:v>Aout 2026</c:v>
                </c:pt>
                <c:pt idx="2">
                  <c:v>Juillet 2026</c:v>
                </c:pt>
                <c:pt idx="3">
                  <c:v>Juin 2026</c:v>
                </c:pt>
                <c:pt idx="4">
                  <c:v>Mai 2026</c:v>
                </c:pt>
                <c:pt idx="5">
                  <c:v>Avril 2026</c:v>
                </c:pt>
                <c:pt idx="6">
                  <c:v>Mars 2026</c:v>
                </c:pt>
                <c:pt idx="7">
                  <c:v>Fevrier 2026</c:v>
                </c:pt>
                <c:pt idx="8">
                  <c:v>Janvier 2026</c:v>
                </c:pt>
                <c:pt idx="9">
                  <c:v>Décembre 2025</c:v>
                </c:pt>
                <c:pt idx="10">
                  <c:v>Novembre 2025</c:v>
                </c:pt>
                <c:pt idx="11">
                  <c:v>Octobre 2025</c:v>
                </c:pt>
                <c:pt idx="12">
                  <c:v>Septembre 2025</c:v>
                </c:pt>
                <c:pt idx="13">
                  <c:v>Aout 2025</c:v>
                </c:pt>
                <c:pt idx="14">
                  <c:v>Juillet 2025</c:v>
                </c:pt>
                <c:pt idx="15">
                  <c:v>Juin 2025</c:v>
                </c:pt>
                <c:pt idx="16">
                  <c:v>Mai 2025</c:v>
                </c:pt>
                <c:pt idx="17">
                  <c:v>Avril 2025</c:v>
                </c:pt>
                <c:pt idx="18">
                  <c:v>Mars 2025</c:v>
                </c:pt>
                <c:pt idx="19">
                  <c:v>Fevrier 2025</c:v>
                </c:pt>
                <c:pt idx="20">
                  <c:v>Janvier 2025</c:v>
                </c:pt>
              </c:strCache>
            </c:strRef>
          </c:cat>
          <c:val>
            <c:numRef>
              <c:f>Budget!$B$13:$V$13</c:f>
              <c:numCache>
                <c:formatCode>General</c:formatCode>
                <c:ptCount val="21"/>
                <c:pt idx="0">
                  <c:v>38.200000000000003</c:v>
                </c:pt>
                <c:pt idx="1">
                  <c:v>465.54999999999995</c:v>
                </c:pt>
                <c:pt idx="2">
                  <c:v>119.30000000000001</c:v>
                </c:pt>
                <c:pt idx="3">
                  <c:v>53.25</c:v>
                </c:pt>
                <c:pt idx="4">
                  <c:v>178.48000000000002</c:v>
                </c:pt>
                <c:pt idx="5">
                  <c:v>0</c:v>
                </c:pt>
                <c:pt idx="6">
                  <c:v>178.29000000000002</c:v>
                </c:pt>
                <c:pt idx="7">
                  <c:v>117.78</c:v>
                </c:pt>
                <c:pt idx="8">
                  <c:v>481.70000000000005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90E-4EB4-A4D7-DA5498204569}"/>
            </c:ext>
          </c:extLst>
        </c:ser>
        <c:ser>
          <c:idx val="3"/>
          <c:order val="3"/>
          <c:tx>
            <c:strRef>
              <c:f>Budget!$A$18</c:f>
              <c:strCache>
                <c:ptCount val="1"/>
                <c:pt idx="0">
                  <c:v>Bilan Fin de mois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Budget!$B$1:$V$1</c:f>
              <c:strCache>
                <c:ptCount val="21"/>
                <c:pt idx="0">
                  <c:v>Septembre 2026</c:v>
                </c:pt>
                <c:pt idx="1">
                  <c:v>Aout 2026</c:v>
                </c:pt>
                <c:pt idx="2">
                  <c:v>Juillet 2026</c:v>
                </c:pt>
                <c:pt idx="3">
                  <c:v>Juin 2026</c:v>
                </c:pt>
                <c:pt idx="4">
                  <c:v>Mai 2026</c:v>
                </c:pt>
                <c:pt idx="5">
                  <c:v>Avril 2026</c:v>
                </c:pt>
                <c:pt idx="6">
                  <c:v>Mars 2026</c:v>
                </c:pt>
                <c:pt idx="7">
                  <c:v>Fevrier 2026</c:v>
                </c:pt>
                <c:pt idx="8">
                  <c:v>Janvier 2026</c:v>
                </c:pt>
                <c:pt idx="9">
                  <c:v>Décembre 2025</c:v>
                </c:pt>
                <c:pt idx="10">
                  <c:v>Novembre 2025</c:v>
                </c:pt>
                <c:pt idx="11">
                  <c:v>Octobre 2025</c:v>
                </c:pt>
                <c:pt idx="12">
                  <c:v>Septembre 2025</c:v>
                </c:pt>
                <c:pt idx="13">
                  <c:v>Aout 2025</c:v>
                </c:pt>
                <c:pt idx="14">
                  <c:v>Juillet 2025</c:v>
                </c:pt>
                <c:pt idx="15">
                  <c:v>Juin 2025</c:v>
                </c:pt>
                <c:pt idx="16">
                  <c:v>Mai 2025</c:v>
                </c:pt>
                <c:pt idx="17">
                  <c:v>Avril 2025</c:v>
                </c:pt>
                <c:pt idx="18">
                  <c:v>Mars 2025</c:v>
                </c:pt>
                <c:pt idx="19">
                  <c:v>Fevrier 2025</c:v>
                </c:pt>
                <c:pt idx="20">
                  <c:v>Janvier 2025</c:v>
                </c:pt>
              </c:strCache>
            </c:strRef>
          </c:cat>
          <c:val>
            <c:numRef>
              <c:f>Budget!$B$18:$V$18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90E-4EB4-A4D7-DA5498204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008296"/>
        <c:axId val="1779964519"/>
      </c:barChart>
      <c:catAx>
        <c:axId val="346008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9964519"/>
        <c:crosses val="autoZero"/>
        <c:auto val="1"/>
        <c:lblAlgn val="ctr"/>
        <c:lblOffset val="100"/>
        <c:noMultiLvlLbl val="1"/>
      </c:catAx>
      <c:valAx>
        <c:axId val="1779964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60082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1295400</xdr:colOff>
      <xdr:row>20</xdr:row>
      <xdr:rowOff>142875</xdr:rowOff>
    </xdr:from>
    <xdr:ext cx="20183475" cy="532447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V39">
  <tableColumns count="22">
    <tableColumn id="1" xr3:uid="{00000000-0010-0000-0000-000001000000}" name="Colonne 1"/>
    <tableColumn id="2" xr3:uid="{00000000-0010-0000-0000-000002000000}" name="Septembre 2026"/>
    <tableColumn id="3" xr3:uid="{00000000-0010-0000-0000-000003000000}" name="Aout 2026"/>
    <tableColumn id="4" xr3:uid="{00000000-0010-0000-0000-000004000000}" name="Juillet 2026"/>
    <tableColumn id="5" xr3:uid="{00000000-0010-0000-0000-000005000000}" name="Juin 2026"/>
    <tableColumn id="6" xr3:uid="{00000000-0010-0000-0000-000006000000}" name="Mai 2026"/>
    <tableColumn id="7" xr3:uid="{00000000-0010-0000-0000-000007000000}" name="Avril 2026"/>
    <tableColumn id="8" xr3:uid="{00000000-0010-0000-0000-000008000000}" name="Mars 2026"/>
    <tableColumn id="9" xr3:uid="{00000000-0010-0000-0000-000009000000}" name="Fevrier 2026"/>
    <tableColumn id="10" xr3:uid="{00000000-0010-0000-0000-00000A000000}" name="Janvier 2026"/>
    <tableColumn id="11" xr3:uid="{00000000-0010-0000-0000-00000B000000}" name="Décembre 2025"/>
    <tableColumn id="12" xr3:uid="{00000000-0010-0000-0000-00000C000000}" name="Novembre 2025"/>
    <tableColumn id="13" xr3:uid="{00000000-0010-0000-0000-00000D000000}" name="Octobre 2025"/>
    <tableColumn id="14" xr3:uid="{00000000-0010-0000-0000-00000E000000}" name="Septembre 2025"/>
    <tableColumn id="15" xr3:uid="{00000000-0010-0000-0000-00000F000000}" name="Aout 2025"/>
    <tableColumn id="16" xr3:uid="{00000000-0010-0000-0000-000010000000}" name="Juillet 2025"/>
    <tableColumn id="17" xr3:uid="{00000000-0010-0000-0000-000011000000}" name="Juin 2025"/>
    <tableColumn id="18" xr3:uid="{00000000-0010-0000-0000-000012000000}" name="Mai 2025"/>
    <tableColumn id="19" xr3:uid="{00000000-0010-0000-0000-000013000000}" name="Avril 2025"/>
    <tableColumn id="20" xr3:uid="{00000000-0010-0000-0000-000014000000}" name="Mars 2025"/>
    <tableColumn id="21" xr3:uid="{00000000-0010-0000-0000-000015000000}" name="Fevrier 2025"/>
    <tableColumn id="22" xr3:uid="{00000000-0010-0000-0000-000016000000}" name="Janvier 2025"/>
  </tableColumns>
  <tableStyleInfo name="Budg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3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8" customWidth="1"/>
    <col min="2" max="14" width="17.77734375" customWidth="1"/>
    <col min="15" max="19" width="13.21875" customWidth="1"/>
    <col min="20" max="20" width="13.44140625" customWidth="1"/>
    <col min="21" max="21" width="14.33203125" customWidth="1"/>
    <col min="22" max="22" width="14.44140625" customWidth="1"/>
    <col min="33" max="33" width="13.33203125" customWidth="1"/>
    <col min="34" max="36" width="4.77734375" customWidth="1"/>
  </cols>
  <sheetData>
    <row r="1" spans="1:36" ht="22.5" customHeight="1">
      <c r="A1" s="4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7" t="s">
        <v>15</v>
      </c>
      <c r="O1" s="7" t="s">
        <v>16</v>
      </c>
      <c r="P1" s="7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2.5" customHeight="1">
      <c r="A2" s="3" t="s">
        <v>24</v>
      </c>
      <c r="B2" s="8">
        <f>SUMIF('Septembre 2026'!$K$3:$K$243,$A2,'Septembre 2026'!$H$3:$H$243)</f>
        <v>254.23</v>
      </c>
      <c r="C2" s="8">
        <f>SUMIF('Aout 2026'!$K$3:$K$243,$A2,'Aout 2026'!$H$3:$H$243)</f>
        <v>2120.0400000000004</v>
      </c>
      <c r="D2" s="8">
        <f>SUMIF('Juillet 2026'!$K$3:$K$241,$A2,'Juillet 2026'!$H$3:$H$241)</f>
        <v>1639.04</v>
      </c>
      <c r="E2" s="8">
        <f>SUMIF('Juin 2026'!$K$3:$K$241,$A2,'Juin 2026'!$H$3:$H$241)</f>
        <v>1872.2800000000002</v>
      </c>
      <c r="F2" s="8">
        <f>SUMIF('Mai 2026'!$K$3:$K$241,$A2,'Mai 2026'!$H$3:$H$241)</f>
        <v>2139.0300000000002</v>
      </c>
      <c r="G2" s="8">
        <f>SUMIF('Avril 2026'!$K$3:$K$241,$A2,'Avril 2026'!$H$3:$H$241)</f>
        <v>1775.5899999999997</v>
      </c>
      <c r="H2" s="8">
        <f>SUMIF('Mars 2026'!$K$3:$K$241,$A2,'Mars 2026'!$H$3:$H$241)</f>
        <v>1241.2700000000002</v>
      </c>
      <c r="I2" s="8">
        <f>SUMIF('Fevrier 2026'!$K$3:$K$241,$A2,'Fevrier 2026'!$H$3:$H$241)</f>
        <v>1544.0900000000001</v>
      </c>
      <c r="J2" s="8">
        <f>SUMIF('Janvier 2026'!$K$3:$K$241,$A2,'Janvier 2026'!$H$3:$H$241)</f>
        <v>1114.46</v>
      </c>
      <c r="K2" s="8" t="e">
        <f>SUMIF(#REF!,$A2,#REF!)</f>
        <v>#REF!</v>
      </c>
      <c r="L2" s="8" t="e">
        <f>SUMIF(#REF!,$A2,#REF!)</f>
        <v>#REF!</v>
      </c>
      <c r="M2" s="8" t="e">
        <f>SUMIF(#REF!,$A2,#REF!)</f>
        <v>#REF!</v>
      </c>
      <c r="N2" s="3" t="e">
        <f>SUMIF(#REF!,$A2,#REF!)</f>
        <v>#REF!</v>
      </c>
      <c r="O2" s="3" t="e">
        <f>SUMIF(#REF!,$A2,#REF!)</f>
        <v>#REF!</v>
      </c>
      <c r="P2" s="3" t="e">
        <f>SUMIF(#REF!,$A2,#REF!)</f>
        <v>#REF!</v>
      </c>
      <c r="Q2" s="3" t="e">
        <f>SUMIF(#REF!,$A2,#REF!)</f>
        <v>#REF!</v>
      </c>
      <c r="R2" s="3" t="e">
        <f>SUMIF(#REF!,$A2,#REF!)</f>
        <v>#REF!</v>
      </c>
      <c r="S2" s="3" t="e">
        <f>SUMIF(#REF!,$A2,#REF!)</f>
        <v>#REF!</v>
      </c>
      <c r="T2" s="3" t="e">
        <f>SUMIF(#REF!,$A2,#REF!)</f>
        <v>#REF!</v>
      </c>
      <c r="U2" s="3" t="e">
        <f>SUMIF(#REF!,$A2,#REF!)</f>
        <v>#REF!</v>
      </c>
      <c r="V2" s="3" t="e">
        <f>SUMIF(#REF!,$A2,#REF!)</f>
        <v>#REF!</v>
      </c>
    </row>
    <row r="3" spans="1:36" ht="22.5" customHeight="1">
      <c r="A3" s="3" t="s">
        <v>25</v>
      </c>
      <c r="B3" s="8">
        <f>SUMIF('Septembre 2026'!$K$3:$K$243,$A3,'Septembre 2026'!$H$3:$H$243)</f>
        <v>2582.27</v>
      </c>
      <c r="C3" s="8">
        <f>SUMIF('Aout 2026'!$K$3:$K$243,$A3,'Aout 2026'!$H$3:$H$243)</f>
        <v>2842.23</v>
      </c>
      <c r="D3" s="9">
        <f>SUMIF('Juillet 2026'!$K$3:$K$241,$A3,'Juillet 2026'!$H$3:$H$241)</f>
        <v>3006.77</v>
      </c>
      <c r="E3" s="8">
        <f>SUMIF('Juin 2026'!$K$3:$K$241,$A3,'Juin 2026'!$H$3:$H$241)</f>
        <v>2847.2</v>
      </c>
      <c r="F3" s="8">
        <f>SUMIF('Mai 2026'!$K$3:$K$241,$A3,'Mai 2026'!$H$3:$H$241)</f>
        <v>2932.63</v>
      </c>
      <c r="G3" s="8">
        <f>SUMIF('Avril 2026'!$K$3:$K$241,$A3,'Avril 2026'!$H$3:$H$241)</f>
        <v>2949.2</v>
      </c>
      <c r="H3" s="8">
        <f>SUMIF('Mars 2026'!$K$3:$K$241,$A3,'Mars 2026'!$H$3:$H$241)</f>
        <v>2907.37</v>
      </c>
      <c r="I3" s="8">
        <f>SUMIF('Fevrier 2026'!$K$3:$K$241,$A3,'Fevrier 2026'!$H$3:$H$241)</f>
        <v>2805.43</v>
      </c>
      <c r="J3" s="8">
        <f>SUMIF('Janvier 2026'!$K$3:$K$241,$A3,'Janvier 2026'!$H$3:$H$241)</f>
        <v>2899.11</v>
      </c>
      <c r="K3" s="8" t="e">
        <f>SUMIF(#REF!,$A3,#REF!)</f>
        <v>#REF!</v>
      </c>
      <c r="L3" s="8" t="e">
        <f>SUMIF(#REF!,$A3,#REF!)</f>
        <v>#REF!</v>
      </c>
      <c r="M3" s="8" t="e">
        <f>SUMIF(#REF!,$A3,#REF!)</f>
        <v>#REF!</v>
      </c>
      <c r="N3" s="3" t="e">
        <f>SUMIF(#REF!,$A3,#REF!)</f>
        <v>#REF!</v>
      </c>
      <c r="O3" s="3" t="e">
        <f>SUMIF(#REF!,$A3,#REF!)</f>
        <v>#REF!</v>
      </c>
      <c r="P3" s="3" t="e">
        <f>SUMIF(#REF!,$A3,#REF!)</f>
        <v>#REF!</v>
      </c>
      <c r="Q3" s="3" t="e">
        <f>SUMIF(#REF!,$A3,#REF!)</f>
        <v>#REF!</v>
      </c>
      <c r="R3" s="3" t="e">
        <f>SUMIF(#REF!,$A3,#REF!)</f>
        <v>#REF!</v>
      </c>
      <c r="S3" s="3" t="e">
        <f>SUMIF(#REF!,$A3,#REF!)</f>
        <v>#REF!</v>
      </c>
      <c r="T3" s="3" t="e">
        <f>SUMIF(#REF!,$A3,#REF!)</f>
        <v>#REF!</v>
      </c>
      <c r="U3" s="3" t="e">
        <f>SUMIF(#REF!,$A3,#REF!)</f>
        <v>#REF!</v>
      </c>
      <c r="V3" s="3" t="e">
        <f>SUMIF(#REF!,$A3,#REF!)</f>
        <v>#REF!</v>
      </c>
    </row>
    <row r="4" spans="1:36" ht="22.5" customHeight="1">
      <c r="A4" s="3" t="s">
        <v>26</v>
      </c>
      <c r="B4" s="8">
        <f>SUMIF('Septembre 2026'!$K$3:$K$243,$A4,'Septembre 2026'!$H$3:$H$243)</f>
        <v>221.32</v>
      </c>
      <c r="C4" s="8">
        <f>SUMIF('Aout 2026'!$K$3:$K$243,$A4,'Aout 2026'!$H$3:$H$243)</f>
        <v>400.44</v>
      </c>
      <c r="D4" s="9">
        <f>SUMIF('Juillet 2026'!$K$3:$K$241,$A4,'Juillet 2026'!$H$3:$H$241)</f>
        <v>1183.78</v>
      </c>
      <c r="E4" s="8">
        <f>SUMIF('Juin 2026'!$K$3:$K$241,$A4,'Juin 2026'!$H$3:$H$241)</f>
        <v>637.86</v>
      </c>
      <c r="F4" s="8">
        <f>SUMIF('Mai 2026'!$K$3:$K$241,$A4,'Mai 2026'!$H$3:$H$241)</f>
        <v>905.12</v>
      </c>
      <c r="G4" s="8">
        <f>SUMIF('Avril 2026'!$K$3:$K$241,$A4,'Avril 2026'!$H$3:$H$241)</f>
        <v>585.68000000000006</v>
      </c>
      <c r="H4" s="8">
        <f>SUMIF('Mars 2026'!$K$3:$K$241,$A4,'Mars 2026'!$H$3:$H$241)</f>
        <v>561.59</v>
      </c>
      <c r="I4" s="8">
        <f>SUMIF('Fevrier 2026'!$K$3:$K$241,$A4,'Fevrier 2026'!$H$3:$H$241)</f>
        <v>724.03000000000009</v>
      </c>
      <c r="J4" s="8">
        <f>SUMIF('Janvier 2026'!$K$3:$K$241,$A4,'Janvier 2026'!$H$3:$H$241)</f>
        <v>1632.2000000000003</v>
      </c>
      <c r="K4" s="8" t="e">
        <f>SUMIF(#REF!,$A4,#REF!)</f>
        <v>#REF!</v>
      </c>
      <c r="L4" s="8" t="e">
        <f>SUMIF(#REF!,$A4,#REF!)</f>
        <v>#REF!</v>
      </c>
      <c r="M4" s="8" t="e">
        <f>SUMIF(#REF!,$A4,#REF!)</f>
        <v>#REF!</v>
      </c>
      <c r="N4" s="3" t="e">
        <f>SUMIF(#REF!,$A4,#REF!)</f>
        <v>#REF!</v>
      </c>
      <c r="O4" s="3" t="e">
        <f>SUMIF(#REF!,$A4,#REF!)</f>
        <v>#REF!</v>
      </c>
      <c r="P4" s="3" t="e">
        <f>SUMIF(#REF!,$A4,#REF!)</f>
        <v>#REF!</v>
      </c>
      <c r="Q4" s="3" t="e">
        <f>SUMIF(#REF!,$A4,#REF!)</f>
        <v>#REF!</v>
      </c>
      <c r="R4" s="3" t="e">
        <f>SUMIF(#REF!,$A4,#REF!)</f>
        <v>#REF!</v>
      </c>
      <c r="S4" s="3" t="e">
        <f>SUMIF(#REF!,$A4,#REF!)</f>
        <v>#REF!</v>
      </c>
      <c r="T4" s="3" t="e">
        <f>SUMIF(#REF!,$A4,#REF!)</f>
        <v>#REF!</v>
      </c>
      <c r="U4" s="3" t="e">
        <f>SUMIF(#REF!,$A4,#REF!)</f>
        <v>#REF!</v>
      </c>
      <c r="V4" s="3" t="e">
        <f>SUMIF(#REF!,$A4,#REF!)</f>
        <v>#REF!</v>
      </c>
    </row>
    <row r="5" spans="1:36" ht="22.5" customHeight="1">
      <c r="A5" s="3" t="s">
        <v>44</v>
      </c>
      <c r="B5" s="8">
        <f>SUMIF('Septembre 2026'!$K$3:$K$243,$A5,'Septembre 2026'!$H$3:$H$243)</f>
        <v>0.99</v>
      </c>
      <c r="C5" s="8">
        <f>SUMIF('Aout 2026'!$K$3:$K$243,$A5,'Aout 2026'!$H$3:$H$243)</f>
        <v>132.88999999999999</v>
      </c>
      <c r="D5" s="9">
        <f>SUMIF('Juillet 2026'!$K$3:$K$241,$A5,'Juillet 2026'!$H$3:$H$241)</f>
        <v>113.90999999999998</v>
      </c>
      <c r="E5" s="8">
        <f>SUMIF('Juin 2026'!$K$3:$K$241,$A5,'Juin 2026'!$H$3:$H$241)</f>
        <v>162.79999999999998</v>
      </c>
      <c r="F5" s="8">
        <f>SUMIF('Mai 2026'!$K$3:$K$241,$A5,'Mai 2026'!$H$3:$H$241)</f>
        <v>169.14</v>
      </c>
      <c r="G5" s="8">
        <f>SUMIF('Avril 2026'!$K$3:$K$241,$A5,'Avril 2026'!$H$3:$H$241)</f>
        <v>123.89999999999998</v>
      </c>
      <c r="H5" s="8">
        <f>SUMIF('Mars 2026'!$K$3:$K$241,$A5,'Mars 2026'!$H$3:$H$241)</f>
        <v>137.88999999999999</v>
      </c>
      <c r="I5" s="8">
        <f>SUMIF('Fevrier 2026'!$K$3:$K$241,$A5,'Fevrier 2026'!$H$3:$H$241)</f>
        <v>183.92</v>
      </c>
      <c r="J5" s="8">
        <f>SUMIF('Janvier 2026'!$K$3:$K$241,$A5,'Janvier 2026'!$H$3:$H$241)</f>
        <v>752.48</v>
      </c>
      <c r="K5" s="8" t="e">
        <f>SUMIF(#REF!,$A5,#REF!)</f>
        <v>#REF!</v>
      </c>
      <c r="L5" s="8" t="e">
        <f>SUMIF(#REF!,$A5,#REF!)</f>
        <v>#REF!</v>
      </c>
      <c r="M5" s="8" t="e">
        <f>SUMIF(#REF!,$A5,#REF!)</f>
        <v>#REF!</v>
      </c>
      <c r="N5" s="3" t="e">
        <f>SUMIF(#REF!,$A5,#REF!)</f>
        <v>#REF!</v>
      </c>
      <c r="O5" s="3" t="e">
        <f>SUMIF(#REF!,$A5,#REF!)</f>
        <v>#REF!</v>
      </c>
      <c r="P5" s="3" t="e">
        <f>SUMIF(#REF!,$A5,#REF!)</f>
        <v>#REF!</v>
      </c>
      <c r="Q5" s="3" t="e">
        <f>SUMIF(#REF!,$A5,#REF!)</f>
        <v>#REF!</v>
      </c>
      <c r="R5" s="3" t="e">
        <f>SUMIF(#REF!,$A5,#REF!)</f>
        <v>#REF!</v>
      </c>
      <c r="S5" s="3" t="e">
        <f>SUMIF(#REF!,$A5,#REF!)</f>
        <v>#REF!</v>
      </c>
      <c r="T5" s="3" t="e">
        <f>SUMIF(#REF!,$A5,#REF!)</f>
        <v>#REF!</v>
      </c>
      <c r="U5" s="3" t="e">
        <f>SUMIF(#REF!,$A5,#REF!)</f>
        <v>#REF!</v>
      </c>
      <c r="V5" s="3" t="e">
        <f>SUMIF(#REF!,$A5,#REF!)</f>
        <v>#REF!</v>
      </c>
    </row>
    <row r="6" spans="1:36" ht="22.5" customHeight="1">
      <c r="A6" s="3" t="s">
        <v>52</v>
      </c>
      <c r="B6" s="8">
        <f>SUMIF('Septembre 2026'!$K$3:$K$243,$A6,'Septembre 2026'!$H$3:$H$243)</f>
        <v>0</v>
      </c>
      <c r="C6" s="8">
        <f>SUMIF('Aout 2026'!$K$3:$K$243,$A6,'Aout 2026'!$H$3:$H$243)</f>
        <v>274.88</v>
      </c>
      <c r="D6" s="9">
        <f>SUMIF('Juillet 2026'!$K$3:$K$241,$A6,'Juillet 2026'!$H$3:$H$241)</f>
        <v>274.88</v>
      </c>
      <c r="E6" s="8">
        <f>SUMIF('Juin 2026'!$K$3:$K$241,$A6,'Juin 2026'!$H$3:$H$241)</f>
        <v>255.89000000000001</v>
      </c>
      <c r="F6" s="8">
        <f>SUMIF('Mai 2026'!$K$3:$K$241,$A6,'Mai 2026'!$H$3:$H$241)</f>
        <v>269.31</v>
      </c>
      <c r="G6" s="8">
        <f>SUMIF('Avril 2026'!$K$3:$K$241,$A6,'Avril 2026'!$H$3:$H$241)</f>
        <v>356.17</v>
      </c>
      <c r="H6" s="8">
        <f>SUMIF('Mars 2026'!$K$3:$K$241,$A6,'Mars 2026'!$H$3:$H$241)</f>
        <v>328.74</v>
      </c>
      <c r="I6" s="8">
        <f>SUMIF('Fevrier 2026'!$K$3:$K$241,$A6,'Fevrier 2026'!$H$3:$H$241)</f>
        <v>328.74</v>
      </c>
      <c r="J6" s="8">
        <f>SUMIF('Janvier 2026'!$K$3:$K$241,$A6,'Janvier 2026'!$H$3:$H$241)</f>
        <v>281</v>
      </c>
      <c r="K6" s="8" t="e">
        <f>SUMIF(#REF!,$A6,#REF!)</f>
        <v>#REF!</v>
      </c>
      <c r="L6" s="8" t="e">
        <f>SUMIF(#REF!,$A6,#REF!)</f>
        <v>#REF!</v>
      </c>
      <c r="M6" s="8" t="e">
        <f>SUMIF(#REF!,$A6,#REF!)</f>
        <v>#REF!</v>
      </c>
      <c r="N6" s="3" t="e">
        <f>SUMIF(#REF!,$A6,#REF!)</f>
        <v>#REF!</v>
      </c>
      <c r="O6" s="3" t="e">
        <f>SUMIF(#REF!,$A6,#REF!)</f>
        <v>#REF!</v>
      </c>
      <c r="P6" s="3" t="e">
        <f>SUMIF(#REF!,$A6,#REF!)</f>
        <v>#REF!</v>
      </c>
      <c r="Q6" s="3" t="e">
        <f>SUMIF(#REF!,$A6,#REF!)</f>
        <v>#REF!</v>
      </c>
      <c r="R6" s="3" t="e">
        <f>SUMIF(#REF!,$A6,#REF!)</f>
        <v>#REF!</v>
      </c>
      <c r="S6" s="3" t="e">
        <f>SUMIF(#REF!,$A6,#REF!)</f>
        <v>#REF!</v>
      </c>
      <c r="T6" s="3" t="e">
        <f>SUMIF(#REF!,$A6,#REF!)</f>
        <v>#REF!</v>
      </c>
      <c r="U6" s="3" t="e">
        <f>SUMIF(#REF!,$A6,#REF!)</f>
        <v>#REF!</v>
      </c>
      <c r="V6" s="3" t="e">
        <f>SUMIF(#REF!,$A6,#REF!)</f>
        <v>#REF!</v>
      </c>
    </row>
    <row r="7" spans="1:36" ht="22.5" customHeight="1">
      <c r="A7" s="3" t="s">
        <v>55</v>
      </c>
      <c r="B7" s="8">
        <f>SUMIF('Septembre 2026'!$K$3:$K$243,$A7,'Septembre 2026'!$H$3:$H$243)</f>
        <v>0</v>
      </c>
      <c r="C7" s="8">
        <f>SUMIF('Aout 2026'!$K$3:$K$243,$A7,'Aout 2026'!$H$3:$H$243)</f>
        <v>516.41</v>
      </c>
      <c r="D7" s="9">
        <f>SUMIF('Juillet 2026'!$K$3:$K$241,$A7,'Juillet 2026'!$H$3:$H$241)</f>
        <v>485.88999999999993</v>
      </c>
      <c r="E7" s="8">
        <f>SUMIF('Juin 2026'!$K$3:$K$241,$A7,'Juin 2026'!$H$3:$H$241)</f>
        <v>600.4</v>
      </c>
      <c r="F7" s="8">
        <f>SUMIF('Mai 2026'!$K$3:$K$241,$A7,'Mai 2026'!$H$3:$H$241)</f>
        <v>512.84999999999991</v>
      </c>
      <c r="G7" s="8">
        <f>SUMIF('Avril 2026'!$K$3:$K$241,$A7,'Avril 2026'!$H$3:$H$241)</f>
        <v>428.14999999999992</v>
      </c>
      <c r="H7" s="8">
        <f>SUMIF('Mars 2026'!$K$3:$K$241,$A7,'Mars 2026'!$H$3:$H$241)</f>
        <v>742.94999999999993</v>
      </c>
      <c r="I7" s="8">
        <f>SUMIF('Fevrier 2026'!$K$3:$K$241,$A7,'Fevrier 2026'!$H$3:$H$241)</f>
        <v>443.84999999999997</v>
      </c>
      <c r="J7" s="8">
        <f>SUMIF('Janvier 2026'!$K$3:$K$241,$A7,'Janvier 2026'!$H$3:$H$241)</f>
        <v>600.1099999999999</v>
      </c>
      <c r="K7" s="8" t="e">
        <f>SUMIF(#REF!,$A7,#REF!)</f>
        <v>#REF!</v>
      </c>
      <c r="L7" s="8" t="e">
        <f>SUMIF(#REF!,$A7,#REF!)</f>
        <v>#REF!</v>
      </c>
      <c r="M7" s="8" t="e">
        <f>SUMIF(#REF!,$A7,#REF!)</f>
        <v>#REF!</v>
      </c>
      <c r="N7" s="3" t="e">
        <f>SUMIF(#REF!,$A7,#REF!)</f>
        <v>#REF!</v>
      </c>
      <c r="O7" s="3" t="e">
        <f>SUMIF(#REF!,$A7,#REF!)</f>
        <v>#REF!</v>
      </c>
      <c r="P7" s="3" t="e">
        <f>SUMIF(#REF!,$A7,#REF!)</f>
        <v>#REF!</v>
      </c>
      <c r="Q7" s="3" t="e">
        <f>SUMIF(#REF!,$A7,#REF!)</f>
        <v>#REF!</v>
      </c>
      <c r="R7" s="3" t="e">
        <f>SUMIF(#REF!,$A7,#REF!)</f>
        <v>#REF!</v>
      </c>
      <c r="S7" s="3" t="e">
        <f>SUMIF(#REF!,$A7,#REF!)</f>
        <v>#REF!</v>
      </c>
      <c r="T7" s="3" t="e">
        <f>SUMIF(#REF!,$A7,#REF!)</f>
        <v>#REF!</v>
      </c>
      <c r="U7" s="3" t="e">
        <f>SUMIF(#REF!,$A7,#REF!)</f>
        <v>#REF!</v>
      </c>
      <c r="V7" s="3" t="e">
        <f>SUMIF(#REF!,$A7,#REF!)</f>
        <v>#REF!</v>
      </c>
    </row>
    <row r="8" spans="1:36" ht="22.5" customHeight="1">
      <c r="A8" s="3" t="s">
        <v>64</v>
      </c>
      <c r="B8" s="8">
        <f>SUMIF('Septembre 2026'!$K$3:$K$243,$A8,'Septembre 2026'!$H$3:$H$243)</f>
        <v>118.97</v>
      </c>
      <c r="C8" s="8">
        <f>SUMIF('Aout 2026'!$K$3:$K$243,$A8,'Aout 2026'!$H$3:$H$243)</f>
        <v>414.32</v>
      </c>
      <c r="D8" s="9">
        <f>SUMIF('Juillet 2026'!$K$3:$K$241,$A8,'Juillet 2026'!$H$3:$H$241)</f>
        <v>816.3</v>
      </c>
      <c r="E8" s="8">
        <f>SUMIF('Juin 2026'!$K$3:$K$241,$A8,'Juin 2026'!$H$3:$H$241)</f>
        <v>196.9</v>
      </c>
      <c r="F8" s="8">
        <f>SUMIF('Mai 2026'!$K$3:$K$241,$A8,'Mai 2026'!$H$3:$H$241)</f>
        <v>278.3</v>
      </c>
      <c r="G8" s="8">
        <f>SUMIF('Avril 2026'!$K$3:$K$241,$A8,'Avril 2026'!$H$3:$H$241)</f>
        <v>178.3</v>
      </c>
      <c r="H8" s="8">
        <f>SUMIF('Mars 2026'!$K$3:$K$241,$A8,'Mars 2026'!$H$3:$H$241)</f>
        <v>220.18</v>
      </c>
      <c r="I8" s="8">
        <f>SUMIF('Fevrier 2026'!$K$3:$K$241,$A8,'Fevrier 2026'!$H$3:$H$241)</f>
        <v>172.1</v>
      </c>
      <c r="J8" s="8">
        <f>SUMIF('Janvier 2026'!$K$3:$K$241,$A8,'Janvier 2026'!$H$3:$H$241)</f>
        <v>178.3</v>
      </c>
      <c r="K8" s="8" t="e">
        <f>SUMIF(#REF!,$A8,#REF!)</f>
        <v>#REF!</v>
      </c>
      <c r="L8" s="8" t="e">
        <f>SUMIF(#REF!,$A8,#REF!)</f>
        <v>#REF!</v>
      </c>
      <c r="M8" s="8" t="e">
        <f>SUMIF(#REF!,$A8,#REF!)</f>
        <v>#REF!</v>
      </c>
      <c r="N8" s="3" t="e">
        <f>SUMIF(#REF!,$A8,#REF!)</f>
        <v>#REF!</v>
      </c>
      <c r="O8" s="3" t="e">
        <f>SUMIF(#REF!,$A8,#REF!)</f>
        <v>#REF!</v>
      </c>
      <c r="P8" s="3" t="e">
        <f>SUMIF(#REF!,$A8,#REF!)</f>
        <v>#REF!</v>
      </c>
      <c r="Q8" s="3" t="e">
        <f>SUMIF(#REF!,$A8,#REF!)</f>
        <v>#REF!</v>
      </c>
      <c r="R8" s="3" t="e">
        <f>SUMIF(#REF!,$A8,#REF!)</f>
        <v>#REF!</v>
      </c>
      <c r="S8" s="3" t="e">
        <f>SUMIF(#REF!,$A8,#REF!)</f>
        <v>#REF!</v>
      </c>
      <c r="T8" s="3" t="e">
        <f>SUMIF(#REF!,$A8,#REF!)</f>
        <v>#REF!</v>
      </c>
      <c r="U8" s="3" t="e">
        <f>SUMIF(#REF!,$A8,#REF!)</f>
        <v>#REF!</v>
      </c>
      <c r="V8" s="3" t="e">
        <f>SUMIF(#REF!,$A8,#REF!)</f>
        <v>#REF!</v>
      </c>
    </row>
    <row r="9" spans="1:36" ht="22.5" customHeight="1">
      <c r="A9" s="3" t="s">
        <v>83</v>
      </c>
      <c r="B9" s="8">
        <f>SUMIF('Septembre 2026'!$K$3:$K$243,$A9,'Septembre 2026'!$H$3:$H$243)</f>
        <v>69.08</v>
      </c>
      <c r="C9" s="8">
        <f>SUMIF('Aout 2026'!$K$3:$K$243,$A9,'Aout 2026'!$H$3:$H$243)</f>
        <v>375.15999999999997</v>
      </c>
      <c r="D9" s="9">
        <f>SUMIF('Juillet 2026'!$K$3:$K$241,$A9,'Juillet 2026'!$H$3:$H$241)</f>
        <v>570.47</v>
      </c>
      <c r="E9" s="8">
        <f>SUMIF('Juin 2026'!$K$3:$K$241,$A9,'Juin 2026'!$H$3:$H$241)</f>
        <v>311.51</v>
      </c>
      <c r="F9" s="8">
        <f>SUMIF('Mai 2026'!$K$3:$K$241,$A9,'Mai 2026'!$H$3:$H$241)</f>
        <v>150.66000000000003</v>
      </c>
      <c r="G9" s="8">
        <f>SUMIF('Avril 2026'!$K$3:$K$241,$A9,'Avril 2026'!$H$3:$H$241)</f>
        <v>226.76999999999998</v>
      </c>
      <c r="H9" s="8">
        <f>SUMIF('Mars 2026'!$K$3:$K$241,$A9,'Mars 2026'!$H$3:$H$241)</f>
        <v>274.90000000000003</v>
      </c>
      <c r="I9" s="8">
        <f>SUMIF('Fevrier 2026'!$K$3:$K$241,$A9,'Fevrier 2026'!$H$3:$H$241)</f>
        <v>229.95</v>
      </c>
      <c r="J9" s="8">
        <f>SUMIF('Janvier 2026'!$K$3:$K$241,$A9,'Janvier 2026'!$H$3:$H$241)</f>
        <v>85</v>
      </c>
      <c r="K9" s="8" t="e">
        <f>SUMIF(#REF!,$A9,#REF!)</f>
        <v>#REF!</v>
      </c>
      <c r="L9" s="8" t="e">
        <f>SUMIF(#REF!,$A9,#REF!)</f>
        <v>#REF!</v>
      </c>
      <c r="M9" s="8" t="e">
        <f>SUMIF(#REF!,$A9,#REF!)</f>
        <v>#REF!</v>
      </c>
      <c r="N9" s="3" t="e">
        <f>SUMIF(#REF!,$A9,#REF!)</f>
        <v>#REF!</v>
      </c>
      <c r="O9" s="3" t="e">
        <f>SUMIF(#REF!,$A9,#REF!)</f>
        <v>#REF!</v>
      </c>
      <c r="P9" s="3" t="e">
        <f>SUMIF(#REF!,$A9,#REF!)</f>
        <v>#REF!</v>
      </c>
      <c r="Q9" s="3" t="e">
        <f>SUMIF(#REF!,$A9,#REF!)</f>
        <v>#REF!</v>
      </c>
      <c r="R9" s="3" t="e">
        <f>SUMIF(#REF!,$A9,#REF!)</f>
        <v>#REF!</v>
      </c>
      <c r="S9" s="3" t="e">
        <f>SUMIF(#REF!,$A9,#REF!)</f>
        <v>#REF!</v>
      </c>
      <c r="T9" s="3" t="e">
        <f>SUMIF(#REF!,$A9,#REF!)</f>
        <v>#REF!</v>
      </c>
      <c r="U9" s="3" t="e">
        <f>SUMIF(#REF!,$A9,#REF!)</f>
        <v>#REF!</v>
      </c>
      <c r="V9" s="3" t="e">
        <f>SUMIF(#REF!,$A9,#REF!)</f>
        <v>#REF!</v>
      </c>
    </row>
    <row r="10" spans="1:36" ht="22.5" customHeight="1">
      <c r="A10" s="3" t="s">
        <v>89</v>
      </c>
      <c r="B10" s="8">
        <f>SUMIF('Septembre 2026'!$K$3:$K$243,$A10,'Septembre 2026'!$H$3:$H$243)</f>
        <v>62.92</v>
      </c>
      <c r="C10" s="8">
        <f>SUMIF('Aout 2026'!$K$3:$K$243,$A10,'Aout 2026'!$H$3:$H$243)</f>
        <v>1467.8100000000002</v>
      </c>
      <c r="D10" s="9">
        <f>SUMIF('Juillet 2026'!$K$3:$K$241,$A10,'Juillet 2026'!$H$3:$H$241)</f>
        <v>1051.4099999999999</v>
      </c>
      <c r="E10" s="8">
        <f>SUMIF('Juin 2026'!$K$3:$K$241,$A10,'Juin 2026'!$H$3:$H$241)</f>
        <v>330.75</v>
      </c>
      <c r="F10" s="8">
        <f>SUMIF('Mai 2026'!$K$3:$K$241,$A10,'Mai 2026'!$H$3:$H$241)</f>
        <v>402.83000000000004</v>
      </c>
      <c r="G10" s="8">
        <f>SUMIF('Avril 2026'!$K$3:$K$241,$A10,'Avril 2026'!$H$3:$H$241)</f>
        <v>418.51</v>
      </c>
      <c r="H10" s="8">
        <f>SUMIF('Mars 2026'!$K$3:$K$241,$A10,'Mars 2026'!$H$3:$H$241)</f>
        <v>988.72</v>
      </c>
      <c r="I10" s="8">
        <f>SUMIF('Fevrier 2026'!$K$3:$K$241,$A10,'Fevrier 2026'!$H$3:$H$241)</f>
        <v>118.28999999999999</v>
      </c>
      <c r="J10" s="8">
        <f>SUMIF('Janvier 2026'!$K$3:$K$241,$A10,'Janvier 2026'!$H$3:$H$241)</f>
        <v>748.33</v>
      </c>
      <c r="K10" s="8" t="e">
        <f>SUMIF(#REF!,$A10,#REF!)</f>
        <v>#REF!</v>
      </c>
      <c r="L10" s="8" t="e">
        <f>SUMIF(#REF!,$A10,#REF!)</f>
        <v>#REF!</v>
      </c>
      <c r="M10" s="8" t="e">
        <f>SUMIF(#REF!,$A10,#REF!)</f>
        <v>#REF!</v>
      </c>
      <c r="N10" s="3" t="e">
        <f>SUMIF(#REF!,$A10,#REF!)</f>
        <v>#REF!</v>
      </c>
      <c r="O10" s="3" t="e">
        <f>SUMIF(#REF!,$A10,#REF!)</f>
        <v>#REF!</v>
      </c>
      <c r="P10" s="3" t="e">
        <f>SUMIF(#REF!,$A10,#REF!)</f>
        <v>#REF!</v>
      </c>
      <c r="Q10" s="3" t="e">
        <f>SUMIF(#REF!,$A10,#REF!)</f>
        <v>#REF!</v>
      </c>
      <c r="R10" s="3" t="e">
        <f>SUMIF(#REF!,$A10,#REF!)</f>
        <v>#REF!</v>
      </c>
      <c r="S10" s="3" t="e">
        <f>SUMIF(#REF!,$A10,#REF!)</f>
        <v>#REF!</v>
      </c>
      <c r="T10" s="3" t="e">
        <f>SUMIF(#REF!,$A10,#REF!)</f>
        <v>#REF!</v>
      </c>
      <c r="U10" s="3" t="e">
        <f>SUMIF(#REF!,$A10,#REF!)</f>
        <v>#REF!</v>
      </c>
      <c r="V10" s="3" t="e">
        <f>SUMIF(#REF!,$A10,#REF!)</f>
        <v>#REF!</v>
      </c>
    </row>
    <row r="11" spans="1:36" ht="22.5" customHeight="1">
      <c r="A11" s="3" t="s">
        <v>98</v>
      </c>
      <c r="B11" s="8">
        <f>SUMIF('Septembre 2026'!$K$3:$K$243,$A11,'Septembre 2026'!$H$3:$H$243)</f>
        <v>0</v>
      </c>
      <c r="C11" s="8">
        <f>SUMIF('Aout 2026'!$K$3:$K$243,$A11,'Aout 2026'!$H$3:$H$243)</f>
        <v>1159.8699999999999</v>
      </c>
      <c r="D11" s="9">
        <f>SUMIF('Juillet 2026'!$K$3:$K$241,$A11,'Juillet 2026'!$H$3:$H$241)</f>
        <v>626.79999999999995</v>
      </c>
      <c r="E11" s="8">
        <f>SUMIF('Juin 2026'!$K$3:$K$241,$A11,'Juin 2026'!$H$3:$H$241)</f>
        <v>331.8599999999999</v>
      </c>
      <c r="F11" s="8">
        <f>SUMIF('Mai 2026'!$K$3:$K$241,$A11,'Mai 2026'!$H$3:$H$241)</f>
        <v>176.04</v>
      </c>
      <c r="G11" s="8">
        <f>SUMIF('Avril 2026'!$K$3:$K$241,$A11,'Avril 2026'!$H$3:$H$241)</f>
        <v>351.58</v>
      </c>
      <c r="H11" s="8">
        <f>SUMIF('Mars 2026'!$K$3:$K$241,$A11,'Mars 2026'!$H$3:$H$241)</f>
        <v>433.48999999999995</v>
      </c>
      <c r="I11" s="8">
        <f>SUMIF('Fevrier 2026'!$K$3:$K$241,$A11,'Fevrier 2026'!$H$3:$H$241)</f>
        <v>673.55</v>
      </c>
      <c r="J11" s="8">
        <f>SUMIF('Janvier 2026'!$K$3:$K$241,$A11,'Janvier 2026'!$H$3:$H$241)</f>
        <v>109.17</v>
      </c>
      <c r="K11" s="8" t="e">
        <f>SUMIF(#REF!,$A11,#REF!)</f>
        <v>#REF!</v>
      </c>
      <c r="L11" s="8" t="e">
        <f>SUMIF(#REF!,$A11,#REF!)</f>
        <v>#REF!</v>
      </c>
      <c r="M11" s="8" t="e">
        <f>SUMIF(#REF!,$A11,#REF!)</f>
        <v>#REF!</v>
      </c>
      <c r="N11" s="3" t="e">
        <f>SUMIF(#REF!,$A11,#REF!)</f>
        <v>#REF!</v>
      </c>
      <c r="O11" s="3" t="e">
        <f>SUMIF(#REF!,$A11,#REF!)</f>
        <v>#REF!</v>
      </c>
      <c r="P11" s="3" t="e">
        <f>SUMIF(#REF!,$A11,#REF!)</f>
        <v>#REF!</v>
      </c>
      <c r="Q11" s="3" t="e">
        <f>SUMIF(#REF!,$A11,#REF!)</f>
        <v>#REF!</v>
      </c>
      <c r="R11" s="3" t="e">
        <f>SUMIF(#REF!,$A11,#REF!)</f>
        <v>#REF!</v>
      </c>
      <c r="S11" s="3" t="e">
        <f>SUMIF(#REF!,$A11,#REF!)</f>
        <v>#REF!</v>
      </c>
      <c r="T11" s="3" t="e">
        <f>SUMIF(#REF!,$A11,#REF!)</f>
        <v>#REF!</v>
      </c>
      <c r="U11" s="3" t="e">
        <f>SUMIF(#REF!,$A11,#REF!)</f>
        <v>#REF!</v>
      </c>
      <c r="V11" s="3" t="e">
        <f>SUMIF(#REF!,$A11,#REF!)</f>
        <v>#REF!</v>
      </c>
    </row>
    <row r="12" spans="1:36" ht="22.5" customHeight="1">
      <c r="A12" s="3" t="s">
        <v>59</v>
      </c>
      <c r="B12" s="8">
        <f>SUMIF('Septembre 2026'!$K$3:$K$243,$A12,'Septembre 2026'!$H$3:$H$243)</f>
        <v>73.69</v>
      </c>
      <c r="C12" s="8">
        <f>SUMIF('Aout 2026'!$K$3:$K$243,$A12,'Aout 2026'!$H$3:$H$243)</f>
        <v>983.25</v>
      </c>
      <c r="D12" s="9">
        <f>SUMIF('Juillet 2026'!$K$3:$K$241,$A12,'Juillet 2026'!$H$3:$H$241)</f>
        <v>314.19</v>
      </c>
      <c r="E12" s="8">
        <f>SUMIF('Juin 2026'!$K$3:$K$241,$A12,'Juin 2026'!$H$3:$H$241)</f>
        <v>313.62</v>
      </c>
      <c r="F12" s="8">
        <f>SUMIF('Mai 2026'!$K$3:$K$241,$A12,'Mai 2026'!$H$3:$H$241)</f>
        <v>673.22</v>
      </c>
      <c r="G12" s="8">
        <f>SUMIF('Avril 2026'!$K$3:$K$241,$A12,'Avril 2026'!$H$3:$H$241)</f>
        <v>698.31999999999982</v>
      </c>
      <c r="H12" s="8">
        <f>SUMIF('Mars 2026'!$K$3:$K$241,$A12,'Mars 2026'!$H$3:$H$241)</f>
        <v>144.51</v>
      </c>
      <c r="I12" s="8">
        <f>SUMIF('Fevrier 2026'!$K$3:$K$241,$A12,'Fevrier 2026'!$H$3:$H$241)</f>
        <v>430.68</v>
      </c>
      <c r="J12" s="8">
        <f>SUMIF('Janvier 2026'!$K$3:$K$241,$A12,'Janvier 2026'!$H$3:$H$241)</f>
        <v>103.22</v>
      </c>
      <c r="K12" s="8" t="e">
        <f>SUMIF(#REF!,$A12,#REF!)</f>
        <v>#REF!</v>
      </c>
      <c r="L12" s="8" t="e">
        <f>SUMIF(#REF!,$A12,#REF!)</f>
        <v>#REF!</v>
      </c>
      <c r="M12" s="8" t="e">
        <f>SUMIF(#REF!,$A12,#REF!)</f>
        <v>#REF!</v>
      </c>
      <c r="N12" s="3" t="e">
        <f>SUMIF(#REF!,$A12,#REF!)</f>
        <v>#REF!</v>
      </c>
      <c r="O12" s="3" t="e">
        <f>SUMIF(#REF!,$A12,#REF!)</f>
        <v>#REF!</v>
      </c>
      <c r="P12" s="3" t="e">
        <f>SUMIF(#REF!,$A12,#REF!)</f>
        <v>#REF!</v>
      </c>
      <c r="Q12" s="3" t="e">
        <f>SUMIF(#REF!,$A12,#REF!)</f>
        <v>#REF!</v>
      </c>
      <c r="R12" s="3" t="e">
        <f>SUMIF(#REF!,$A12,#REF!)</f>
        <v>#REF!</v>
      </c>
      <c r="S12" s="3" t="e">
        <f>SUMIF(#REF!,$A12,#REF!)</f>
        <v>#REF!</v>
      </c>
      <c r="T12" s="3" t="e">
        <f>SUMIF(#REF!,$A12,#REF!)</f>
        <v>#REF!</v>
      </c>
      <c r="U12" s="3" t="e">
        <f>SUMIF(#REF!,$A12,#REF!)</f>
        <v>#REF!</v>
      </c>
      <c r="V12" s="3" t="e">
        <f>SUMIF(#REF!,$A12,#REF!)</f>
        <v>#REF!</v>
      </c>
    </row>
    <row r="13" spans="1:36" ht="22.5" customHeight="1">
      <c r="A13" s="3" t="s">
        <v>85</v>
      </c>
      <c r="B13" s="8">
        <f>SUMIF('Septembre 2026'!$K$3:$K$243,$A13,'Septembre 2026'!$H$3:$H$243)</f>
        <v>38.200000000000003</v>
      </c>
      <c r="C13" s="8">
        <f>SUMIF('Aout 2026'!$K$3:$K$243,$A13,'Aout 2026'!$H$3:$H$243)</f>
        <v>465.54999999999995</v>
      </c>
      <c r="D13" s="9">
        <f>SUMIF('Juillet 2026'!$K$3:$K$241,$A13,'Juillet 2026'!$H$3:$H$241)</f>
        <v>119.30000000000001</v>
      </c>
      <c r="E13" s="8">
        <f>SUMIF('Juin 2026'!$K$3:$K$241,$A13,'Juin 2026'!$H$3:$H$241)</f>
        <v>53.25</v>
      </c>
      <c r="F13" s="8">
        <f>SUMIF('Mai 2026'!$K$3:$K$241,$A13,'Mai 2026'!$H$3:$H$241)</f>
        <v>178.48000000000002</v>
      </c>
      <c r="G13" s="8">
        <f>SUMIF('Avril 2026'!$K$3:$K$241,$A13,'Avril 2026'!$H$3:$H$241)</f>
        <v>0</v>
      </c>
      <c r="H13" s="8">
        <f>SUMIF('Mars 2026'!$K$3:$K$241,$A13,'Mars 2026'!$H$3:$H$241)</f>
        <v>178.29000000000002</v>
      </c>
      <c r="I13" s="8">
        <f>SUMIF('Fevrier 2026'!$K$3:$K$241,$A13,'Fevrier 2026'!$H$3:$H$241)</f>
        <v>117.78</v>
      </c>
      <c r="J13" s="8">
        <f>SUMIF('Janvier 2026'!$K$3:$K$241,$A13,'Janvier 2026'!$H$3:$H$241)</f>
        <v>481.70000000000005</v>
      </c>
      <c r="K13" s="8" t="e">
        <f>SUMIF(#REF!,$A13,#REF!)</f>
        <v>#REF!</v>
      </c>
      <c r="L13" s="8" t="e">
        <f>SUMIF(#REF!,$A13,#REF!)</f>
        <v>#REF!</v>
      </c>
      <c r="M13" s="8" t="e">
        <f>SUMIF(#REF!,$A13,#REF!)</f>
        <v>#REF!</v>
      </c>
      <c r="N13" s="3" t="e">
        <f>SUMIF(#REF!,$A13,#REF!)</f>
        <v>#REF!</v>
      </c>
      <c r="O13" s="3" t="e">
        <f>SUMIF(#REF!,$A13,#REF!)</f>
        <v>#REF!</v>
      </c>
      <c r="P13" s="3" t="e">
        <f>SUMIF(#REF!,$A13,#REF!)</f>
        <v>#REF!</v>
      </c>
      <c r="Q13" s="3" t="e">
        <f>SUMIF(#REF!,$A13,#REF!)</f>
        <v>#REF!</v>
      </c>
      <c r="R13" s="3" t="e">
        <f>SUMIF(#REF!,$A13,#REF!)</f>
        <v>#REF!</v>
      </c>
      <c r="S13" s="3" t="e">
        <f>SUMIF(#REF!,$A13,#REF!)</f>
        <v>#REF!</v>
      </c>
      <c r="T13" s="3" t="e">
        <f>SUMIF(#REF!,$A13,#REF!)</f>
        <v>#REF!</v>
      </c>
      <c r="U13" s="3" t="e">
        <f>SUMIF(#REF!,$A13,#REF!)</f>
        <v>#REF!</v>
      </c>
      <c r="V13" s="3" t="e">
        <f>SUMIF(#REF!,$A13,#REF!)</f>
        <v>#REF!</v>
      </c>
    </row>
    <row r="14" spans="1:36" ht="22.5" customHeight="1">
      <c r="A14" s="3" t="s">
        <v>198</v>
      </c>
      <c r="B14" s="8">
        <f>SUMIF('Septembre 2026'!$K$3:$K$243,$A14,'Septembre 2026'!$H$3:$H$243)</f>
        <v>0</v>
      </c>
      <c r="C14" s="8">
        <f>SUMIF('Aout 2026'!$K$3:$K$243,$A14,'Aout 2026'!$H$3:$H$243)</f>
        <v>0</v>
      </c>
      <c r="D14" s="9">
        <f>SUMIF('Juillet 2026'!$K$3:$K$241,$A14,'Juillet 2026'!$H$3:$H$241)</f>
        <v>0</v>
      </c>
      <c r="E14" s="8">
        <f>SUMIF('Juin 2026'!$K$3:$K$241,$A14,'Juin 2026'!$H$3:$H$241)</f>
        <v>70</v>
      </c>
      <c r="F14" s="8">
        <f>SUMIF('Mai 2026'!$K$3:$K$241,$A14,'Mai 2026'!$H$3:$H$241)</f>
        <v>188.9</v>
      </c>
      <c r="G14" s="8">
        <f>SUMIF('Avril 2026'!$K$3:$K$241,$A14,'Avril 2026'!$H$3:$H$241)</f>
        <v>221.64</v>
      </c>
      <c r="H14" s="8">
        <f>SUMIF('Mars 2026'!$K$3:$K$241,$A14,'Mars 2026'!$H$3:$H$241)</f>
        <v>23.1</v>
      </c>
      <c r="I14" s="8">
        <f>SUMIF('Fevrier 2026'!$K$3:$K$241,$A14,'Fevrier 2026'!$H$3:$H$241)</f>
        <v>62.46</v>
      </c>
      <c r="J14" s="8">
        <f>SUMIF('Janvier 2026'!$K$3:$K$241,$A14,'Janvier 2026'!$H$3:$H$241)</f>
        <v>0</v>
      </c>
      <c r="K14" s="8" t="e">
        <f>SUMIF(#REF!,$A14,#REF!)</f>
        <v>#REF!</v>
      </c>
      <c r="L14" s="8" t="e">
        <f>SUMIF(#REF!,$A14,#REF!)</f>
        <v>#REF!</v>
      </c>
      <c r="M14" s="8" t="e">
        <f>SUMIF(#REF!,$A14,#REF!)</f>
        <v>#REF!</v>
      </c>
      <c r="N14" s="3" t="e">
        <f>SUMIF(#REF!,$A14,#REF!)</f>
        <v>#REF!</v>
      </c>
      <c r="O14" s="3" t="e">
        <f>SUMIF(#REF!,$A14,#REF!)</f>
        <v>#REF!</v>
      </c>
      <c r="P14" s="3" t="e">
        <f>SUMIF(#REF!,$A14,#REF!)</f>
        <v>#REF!</v>
      </c>
      <c r="Q14" s="3" t="e">
        <f>SUMIF(#REF!,$A14,#REF!)</f>
        <v>#REF!</v>
      </c>
      <c r="R14" s="3" t="e">
        <f>SUMIF(#REF!,$A14,#REF!)</f>
        <v>#REF!</v>
      </c>
      <c r="S14" s="3" t="e">
        <f>SUMIF(#REF!,$A14,#REF!)</f>
        <v>#REF!</v>
      </c>
      <c r="T14" s="3" t="e">
        <f>SUMIF(#REF!,$A14,#REF!)</f>
        <v>#REF!</v>
      </c>
      <c r="U14" s="3" t="e">
        <f>SUMIF(#REF!,$A14,#REF!)</f>
        <v>#REF!</v>
      </c>
      <c r="V14" s="3" t="e">
        <f>SUMIF(#REF!,$A14,#REF!)</f>
        <v>#REF!</v>
      </c>
    </row>
    <row r="15" spans="1:36" ht="22.5" customHeight="1">
      <c r="A15" s="3" t="s">
        <v>1</v>
      </c>
      <c r="B15" s="8">
        <f>SUMIF('Septembre 2026'!$K$3:$K$243,$A15,'Septembre 2026'!$H$3:$H$243)</f>
        <v>0</v>
      </c>
      <c r="C15" s="8">
        <f>SUMIF('Aout 2026'!$K$3:$K$243,$A15,'Aout 2026'!$H$3:$H$243)</f>
        <v>0</v>
      </c>
      <c r="D15" s="9">
        <f>SUMIF('Juillet 2026'!$K$3:$K$241,$A15,'Juillet 2026'!$H$3:$H$241)</f>
        <v>2580</v>
      </c>
      <c r="E15" s="9">
        <f>SUMIF('Juin 2026'!$K$3:$K$241,$A15,'Juin 2026'!$H$3:$H$241)</f>
        <v>0</v>
      </c>
      <c r="F15" s="9">
        <f>SUMIF('Mai 2026'!$K$3:$K$241,$A15,'Mai 2026'!$H$3:$H$241)</f>
        <v>0</v>
      </c>
      <c r="G15" s="9">
        <f>SUMIF('Avril 2026'!$K$3:$K$241,$A15,'Avril 2026'!$H$3:$H$241)</f>
        <v>0</v>
      </c>
      <c r="H15" s="9">
        <f>SUMIF('Mars 2026'!$K$3:$K$241,$A15,'Mars 2026'!$H$3:$H$241)</f>
        <v>0</v>
      </c>
      <c r="I15" s="9">
        <f>SUMIF('Fevrier 2026'!$K$3:$K$241,$A15,'Fevrier 2026'!$H$3:$H$241)</f>
        <v>0</v>
      </c>
      <c r="J15" s="9">
        <f>SUMIF('Janvier 2026'!$K$3:$K$241,$A15,'Janvier 2026'!$H$3:$H$241)</f>
        <v>0</v>
      </c>
      <c r="K15" s="9" t="e">
        <f>SUMIF(#REF!,$A15,#REF!)</f>
        <v>#REF!</v>
      </c>
      <c r="L15" s="9" t="e">
        <f>SUMIF(#REF!,$A15,#REF!)</f>
        <v>#REF!</v>
      </c>
      <c r="M15" s="9" t="e">
        <f>SUMIF(#REF!,$A15,#REF!)</f>
        <v>#REF!</v>
      </c>
      <c r="N15" s="3" t="e">
        <f>SUMIF(#REF!,$A15,#REF!)</f>
        <v>#REF!</v>
      </c>
      <c r="O15" s="3" t="e">
        <f>SUMIF(#REF!,$A15,#REF!)</f>
        <v>#REF!</v>
      </c>
      <c r="P15" s="3" t="e">
        <f>SUMIF(#REF!,$A15,#REF!)</f>
        <v>#REF!</v>
      </c>
      <c r="Q15" s="3" t="e">
        <f>SUMIF(#REF!,$A15,#REF!)</f>
        <v>#REF!</v>
      </c>
      <c r="R15" s="3" t="e">
        <f>SUMIF(#REF!,$A15,#REF!)</f>
        <v>#REF!</v>
      </c>
      <c r="S15" s="3" t="e">
        <f>SUMIF(#REF!,$A15,#REF!)</f>
        <v>#REF!</v>
      </c>
      <c r="T15" s="3" t="e">
        <f>SUMIF(#REF!,$A15,#REF!)</f>
        <v>#REF!</v>
      </c>
      <c r="U15" s="3" t="e">
        <f>SUMIF(#REF!,$A15,#REF!)</f>
        <v>#REF!</v>
      </c>
      <c r="V15" s="3" t="e">
        <f>SUMIF(#REF!,$A15,#REF!)</f>
        <v>#REF!</v>
      </c>
    </row>
    <row r="16" spans="1:36" ht="22.5" customHeight="1">
      <c r="A16" s="3" t="s">
        <v>29</v>
      </c>
      <c r="B16" s="8">
        <f>SUMIF('Septembre 2026'!$K$3:$K$243,$A16,'Septembre 2026'!$H$3:$H$243)</f>
        <v>0</v>
      </c>
      <c r="C16" s="8">
        <f>SUMIF('Aout 2026'!$K$3:$K$243,$A16,'Aout 2026'!$H$3:$H$243)</f>
        <v>0</v>
      </c>
      <c r="D16" s="9">
        <f>SUMIF('Juillet 2026'!$K$3:$K$241,$A16,'Juillet 2026'!$H$3:$H$241)</f>
        <v>0</v>
      </c>
      <c r="E16" s="9">
        <f>SUMIF('Juin 2026'!$K$3:$K$241,$A16,'Juin 2026'!$H$3:$H$241)</f>
        <v>88.69</v>
      </c>
      <c r="F16" s="9">
        <f>SUMIF('Mai 2026'!$K$3:$K$241,$A16,'Mai 2026'!$H$3:$H$241)</f>
        <v>197.89</v>
      </c>
      <c r="G16" s="9">
        <f>SUMIF('Avril 2026'!$K$3:$K$241,$A16,'Avril 2026'!$H$3:$H$241)</f>
        <v>166.99</v>
      </c>
      <c r="H16" s="9">
        <f>SUMIF('Mars 2026'!$K$3:$K$241,$A16,'Mars 2026'!$H$3:$H$241)</f>
        <v>183.8</v>
      </c>
      <c r="I16" s="9">
        <f>SUMIF('Fevrier 2026'!$K$3:$K$241,$A16,'Fevrier 2026'!$H$3:$H$241)</f>
        <v>290</v>
      </c>
      <c r="J16" s="9">
        <f>SUMIF('Janvier 2026'!$K$3:$K$241,$A16,'Janvier 2026'!$H$3:$H$241)</f>
        <v>469.35</v>
      </c>
      <c r="K16" s="9" t="e">
        <f>SUMIF(#REF!,$A16,#REF!)</f>
        <v>#REF!</v>
      </c>
      <c r="L16" s="9" t="e">
        <f>SUMIF(#REF!,$A16,#REF!)</f>
        <v>#REF!</v>
      </c>
      <c r="M16" s="9" t="e">
        <f>SUMIF(#REF!,$A16,#REF!)</f>
        <v>#REF!</v>
      </c>
      <c r="N16" s="3" t="e">
        <f>SUMIF(#REF!,$A16,#REF!)</f>
        <v>#REF!</v>
      </c>
      <c r="O16" s="3" t="e">
        <f>SUMIF(#REF!,$A16,#REF!)</f>
        <v>#REF!</v>
      </c>
      <c r="P16" s="3" t="e">
        <f>SUMIF(#REF!,$A16,#REF!)</f>
        <v>#REF!</v>
      </c>
      <c r="Q16" s="3" t="e">
        <f>SUMIF(#REF!,$A16,#REF!)</f>
        <v>#REF!</v>
      </c>
      <c r="R16" s="3" t="e">
        <f>SUMIF(#REF!,$A16,#REF!)</f>
        <v>#REF!</v>
      </c>
      <c r="S16" s="3" t="e">
        <f>SUMIF(#REF!,$A16,#REF!)</f>
        <v>#REF!</v>
      </c>
      <c r="T16" s="3" t="e">
        <f>SUMIF(#REF!,$A16,#REF!)</f>
        <v>#REF!</v>
      </c>
      <c r="U16" s="3" t="e">
        <f>SUMIF(#REF!,$A16,#REF!)</f>
        <v>#REF!</v>
      </c>
      <c r="V16" s="3" t="e">
        <f>SUMIF(#REF!,$A16,#REF!)</f>
        <v>#REF!</v>
      </c>
    </row>
    <row r="17" spans="1:22" ht="22.5" customHeight="1">
      <c r="A17" s="3" t="s">
        <v>257</v>
      </c>
      <c r="B17" s="15">
        <f t="shared" ref="B17:V17" si="0">SUM(B2:B14)</f>
        <v>3421.6699999999996</v>
      </c>
      <c r="C17" s="15">
        <f t="shared" si="0"/>
        <v>11152.849999999999</v>
      </c>
      <c r="D17" s="15">
        <f t="shared" si="0"/>
        <v>10202.74</v>
      </c>
      <c r="E17" s="15">
        <f t="shared" si="0"/>
        <v>7984.3199999999988</v>
      </c>
      <c r="F17" s="15">
        <f t="shared" si="0"/>
        <v>8976.5099999999984</v>
      </c>
      <c r="G17" s="15">
        <f t="shared" si="0"/>
        <v>8313.8099999999977</v>
      </c>
      <c r="H17" s="15">
        <f t="shared" si="0"/>
        <v>8183.0000000000009</v>
      </c>
      <c r="I17" s="15">
        <f t="shared" si="0"/>
        <v>7834.8700000000008</v>
      </c>
      <c r="J17" s="15">
        <f t="shared" si="0"/>
        <v>8985.08</v>
      </c>
      <c r="K17" s="15" t="e">
        <f t="shared" si="0"/>
        <v>#REF!</v>
      </c>
      <c r="L17" s="3" t="e">
        <f t="shared" si="0"/>
        <v>#REF!</v>
      </c>
      <c r="M17" s="3" t="e">
        <f t="shared" si="0"/>
        <v>#REF!</v>
      </c>
      <c r="N17" s="3" t="e">
        <f t="shared" si="0"/>
        <v>#REF!</v>
      </c>
      <c r="O17" s="3" t="e">
        <f t="shared" si="0"/>
        <v>#REF!</v>
      </c>
      <c r="P17" s="3" t="e">
        <f t="shared" si="0"/>
        <v>#REF!</v>
      </c>
      <c r="Q17" s="3" t="e">
        <f t="shared" si="0"/>
        <v>#REF!</v>
      </c>
      <c r="R17" s="3" t="e">
        <f t="shared" si="0"/>
        <v>#REF!</v>
      </c>
      <c r="S17" s="3" t="e">
        <f t="shared" si="0"/>
        <v>#REF!</v>
      </c>
      <c r="T17" s="3" t="e">
        <f t="shared" si="0"/>
        <v>#REF!</v>
      </c>
      <c r="U17" s="3" t="e">
        <f t="shared" si="0"/>
        <v>#REF!</v>
      </c>
      <c r="V17" s="3" t="e">
        <f t="shared" si="0"/>
        <v>#REF!</v>
      </c>
    </row>
    <row r="18" spans="1:22" ht="22.5" customHeight="1">
      <c r="A18" s="3" t="s">
        <v>260</v>
      </c>
      <c r="B18" s="3" t="e">
        <f t="shared" ref="B18:V18" ca="1" si="1">INDIRECT(B1&amp;"!D43")-INDIRECT(B1&amp;"!C39")</f>
        <v>#REF!</v>
      </c>
      <c r="C18" s="3" t="e">
        <f t="shared" ca="1" si="1"/>
        <v>#REF!</v>
      </c>
      <c r="D18" s="3" t="e">
        <f t="shared" ca="1" si="1"/>
        <v>#REF!</v>
      </c>
      <c r="E18" s="3" t="e">
        <f t="shared" ca="1" si="1"/>
        <v>#REF!</v>
      </c>
      <c r="F18" s="3" t="e">
        <f t="shared" ca="1" si="1"/>
        <v>#REF!</v>
      </c>
      <c r="G18" s="3" t="e">
        <f t="shared" ca="1" si="1"/>
        <v>#REF!</v>
      </c>
      <c r="H18" s="3" t="e">
        <f t="shared" ca="1" si="1"/>
        <v>#REF!</v>
      </c>
      <c r="I18" s="3" t="e">
        <f t="shared" ca="1" si="1"/>
        <v>#REF!</v>
      </c>
      <c r="J18" s="3" t="e">
        <f t="shared" ca="1" si="1"/>
        <v>#REF!</v>
      </c>
      <c r="K18" s="3" t="e">
        <f t="shared" ca="1" si="1"/>
        <v>#REF!</v>
      </c>
      <c r="L18" s="3" t="e">
        <f t="shared" ca="1" si="1"/>
        <v>#REF!</v>
      </c>
      <c r="M18" s="3" t="e">
        <f t="shared" ca="1" si="1"/>
        <v>#REF!</v>
      </c>
      <c r="N18" s="3" t="e">
        <f t="shared" ca="1" si="1"/>
        <v>#REF!</v>
      </c>
      <c r="O18" s="3" t="e">
        <f t="shared" ca="1" si="1"/>
        <v>#REF!</v>
      </c>
      <c r="P18" s="3" t="e">
        <f t="shared" ca="1" si="1"/>
        <v>#REF!</v>
      </c>
      <c r="Q18" s="3" t="e">
        <f t="shared" ca="1" si="1"/>
        <v>#REF!</v>
      </c>
      <c r="R18" s="3" t="e">
        <f t="shared" ca="1" si="1"/>
        <v>#REF!</v>
      </c>
      <c r="S18" s="3" t="e">
        <f t="shared" ca="1" si="1"/>
        <v>#REF!</v>
      </c>
      <c r="T18" s="3" t="e">
        <f t="shared" ca="1" si="1"/>
        <v>#REF!</v>
      </c>
      <c r="U18" s="3" t="e">
        <f t="shared" ca="1" si="1"/>
        <v>#REF!</v>
      </c>
      <c r="V18" s="3" t="e">
        <f t="shared" ca="1" si="1"/>
        <v>#REF!</v>
      </c>
    </row>
    <row r="19" spans="1:22" ht="22.5" customHeight="1">
      <c r="A19" s="3"/>
      <c r="B19" s="16"/>
      <c r="C19" s="16"/>
      <c r="D19" s="16"/>
      <c r="E19" s="16"/>
      <c r="F19" s="16"/>
      <c r="G19" s="16"/>
      <c r="H19" s="16"/>
      <c r="I19" s="17"/>
      <c r="J19" s="17"/>
      <c r="K19" s="17"/>
      <c r="L19" s="11"/>
      <c r="M19" s="11"/>
      <c r="N19" s="3"/>
      <c r="O19" s="3"/>
      <c r="P19" s="3"/>
      <c r="Q19" s="3"/>
      <c r="R19" s="3"/>
      <c r="S19" s="3"/>
      <c r="T19" s="3"/>
      <c r="U19" s="3"/>
      <c r="V19" s="3"/>
    </row>
    <row r="20" spans="1:22" ht="22.5" customHeight="1">
      <c r="A20" s="3"/>
      <c r="B20" s="18"/>
      <c r="C20" s="18"/>
      <c r="D20" s="18"/>
      <c r="E20" s="18"/>
      <c r="F20" s="18"/>
      <c r="G20" s="18"/>
      <c r="H20" s="18"/>
      <c r="I20" s="19"/>
      <c r="J20" s="19"/>
      <c r="K20" s="19"/>
      <c r="L20" s="11"/>
      <c r="M20" s="11"/>
      <c r="N20" s="3"/>
      <c r="O20" s="3"/>
      <c r="P20" s="3"/>
      <c r="Q20" s="3"/>
      <c r="R20" s="3"/>
      <c r="S20" s="3"/>
      <c r="T20" s="3"/>
      <c r="U20" s="3"/>
      <c r="V20" s="3"/>
    </row>
    <row r="21" spans="1:22" ht="22.5" customHeight="1">
      <c r="A21" s="3"/>
      <c r="B21" s="16"/>
      <c r="C21" s="16"/>
      <c r="D21" s="16"/>
      <c r="E21" s="16"/>
      <c r="F21" s="16"/>
      <c r="G21" s="16"/>
      <c r="H21" s="16"/>
      <c r="I21" s="17"/>
      <c r="J21" s="17"/>
      <c r="K21" s="17"/>
      <c r="L21" s="11"/>
      <c r="M21" s="11"/>
      <c r="N21" s="3"/>
      <c r="O21" s="3"/>
      <c r="P21" s="3"/>
      <c r="Q21" s="3"/>
      <c r="R21" s="3"/>
      <c r="S21" s="3"/>
      <c r="T21" s="3"/>
      <c r="U21" s="3"/>
      <c r="V21" s="3"/>
    </row>
    <row r="22" spans="1:22" ht="22.5" customHeight="1">
      <c r="A22" s="3"/>
      <c r="B22" s="16"/>
      <c r="C22" s="16"/>
      <c r="D22" s="16"/>
      <c r="E22" s="16"/>
      <c r="F22" s="16"/>
      <c r="G22" s="16"/>
      <c r="H22" s="16"/>
      <c r="I22" s="17"/>
      <c r="J22" s="17"/>
      <c r="K22" s="19"/>
      <c r="L22" s="11"/>
      <c r="M22" s="11"/>
      <c r="N22" s="3"/>
      <c r="O22" s="3"/>
      <c r="P22" s="3"/>
      <c r="Q22" s="3"/>
      <c r="R22" s="3"/>
      <c r="S22" s="3"/>
      <c r="T22" s="3"/>
      <c r="U22" s="3"/>
      <c r="V22" s="3"/>
    </row>
    <row r="23" spans="1:22" ht="22.5" customHeight="1">
      <c r="A23" s="3"/>
      <c r="B23" s="18"/>
      <c r="C23" s="18"/>
      <c r="D23" s="18"/>
      <c r="E23" s="18"/>
      <c r="F23" s="18"/>
      <c r="G23" s="18"/>
      <c r="H23" s="18"/>
      <c r="I23" s="19"/>
      <c r="J23" s="19"/>
      <c r="K23" s="17"/>
      <c r="L23" s="11"/>
      <c r="M23" s="11"/>
      <c r="N23" s="3"/>
      <c r="O23" s="3"/>
      <c r="P23" s="3"/>
      <c r="Q23" s="3"/>
      <c r="R23" s="3"/>
      <c r="S23" s="3"/>
      <c r="T23" s="3"/>
      <c r="U23" s="3"/>
      <c r="V23" s="3"/>
    </row>
    <row r="24" spans="1:22" ht="22.5" customHeight="1">
      <c r="A24" s="3"/>
      <c r="B24" s="16"/>
      <c r="C24" s="16"/>
      <c r="D24" s="16"/>
      <c r="E24" s="16"/>
      <c r="F24" s="16"/>
      <c r="G24" s="16"/>
      <c r="H24" s="16"/>
      <c r="I24" s="17"/>
      <c r="J24" s="17"/>
      <c r="K24" s="17"/>
      <c r="L24" s="11"/>
      <c r="M24" s="11"/>
      <c r="N24" s="3"/>
      <c r="O24" s="3"/>
      <c r="P24" s="3"/>
      <c r="Q24" s="3"/>
      <c r="R24" s="3"/>
      <c r="S24" s="3"/>
      <c r="T24" s="3"/>
      <c r="U24" s="3"/>
      <c r="V24" s="3"/>
    </row>
    <row r="25" spans="1:22" ht="22.5" customHeight="1">
      <c r="A25" s="3"/>
      <c r="B25" s="18"/>
      <c r="C25" s="18"/>
      <c r="D25" s="18"/>
      <c r="E25" s="18"/>
      <c r="F25" s="18"/>
      <c r="G25" s="18"/>
      <c r="H25" s="18"/>
      <c r="I25" s="19"/>
      <c r="J25" s="19"/>
      <c r="K25" s="19"/>
      <c r="L25" s="11"/>
      <c r="M25" s="11"/>
      <c r="N25" s="3"/>
      <c r="O25" s="3"/>
      <c r="P25" s="3"/>
      <c r="Q25" s="3"/>
      <c r="R25" s="3"/>
      <c r="S25" s="3"/>
      <c r="T25" s="3"/>
      <c r="U25" s="3"/>
      <c r="V25" s="3"/>
    </row>
    <row r="26" spans="1:22" ht="22.5" customHeight="1">
      <c r="A26" s="3"/>
      <c r="B26" s="16"/>
      <c r="C26" s="16"/>
      <c r="D26" s="16"/>
      <c r="E26" s="16"/>
      <c r="F26" s="16"/>
      <c r="G26" s="16"/>
      <c r="H26" s="16"/>
      <c r="I26" s="17"/>
      <c r="J26" s="17"/>
      <c r="K26" s="17"/>
      <c r="L26" s="11"/>
      <c r="M26" s="11"/>
      <c r="N26" s="3"/>
      <c r="O26" s="3"/>
      <c r="P26" s="3"/>
      <c r="Q26" s="3"/>
      <c r="R26" s="3"/>
      <c r="S26" s="3"/>
      <c r="T26" s="3"/>
      <c r="U26" s="3"/>
      <c r="V26" s="3"/>
    </row>
    <row r="27" spans="1:22" ht="22.5" customHeight="1">
      <c r="A27" s="3"/>
      <c r="B27" s="18"/>
      <c r="C27" s="18"/>
      <c r="D27" s="18"/>
      <c r="E27" s="18"/>
      <c r="F27" s="18"/>
      <c r="G27" s="18"/>
      <c r="H27" s="18"/>
      <c r="I27" s="19"/>
      <c r="J27" s="19"/>
      <c r="K27" s="19"/>
      <c r="L27" s="11"/>
      <c r="M27" s="11"/>
      <c r="N27" s="3"/>
      <c r="O27" s="3"/>
      <c r="P27" s="3"/>
      <c r="Q27" s="3"/>
      <c r="R27" s="3"/>
      <c r="S27" s="3"/>
      <c r="T27" s="3"/>
      <c r="U27" s="3"/>
      <c r="V27" s="3"/>
    </row>
    <row r="28" spans="1:22" ht="22.5" customHeight="1">
      <c r="A28" s="3"/>
      <c r="B28" s="16"/>
      <c r="C28" s="16"/>
      <c r="D28" s="16"/>
      <c r="E28" s="16"/>
      <c r="F28" s="16"/>
      <c r="G28" s="16"/>
      <c r="H28" s="16"/>
      <c r="I28" s="17"/>
      <c r="J28" s="17"/>
      <c r="K28" s="17"/>
      <c r="L28" s="11"/>
      <c r="M28" s="11"/>
      <c r="N28" s="3"/>
      <c r="O28" s="3"/>
      <c r="P28" s="3"/>
      <c r="Q28" s="3"/>
      <c r="R28" s="3"/>
      <c r="S28" s="3"/>
      <c r="T28" s="3"/>
      <c r="U28" s="3"/>
      <c r="V28" s="3"/>
    </row>
    <row r="29" spans="1:22" ht="22.5" customHeight="1">
      <c r="A29" s="3"/>
      <c r="B29" s="18"/>
      <c r="C29" s="18"/>
      <c r="D29" s="18"/>
      <c r="E29" s="18"/>
      <c r="F29" s="18"/>
      <c r="G29" s="18"/>
      <c r="H29" s="18"/>
      <c r="I29" s="19"/>
      <c r="J29" s="19"/>
      <c r="K29" s="19"/>
      <c r="L29" s="11"/>
      <c r="M29" s="11"/>
      <c r="N29" s="3"/>
      <c r="O29" s="3"/>
      <c r="P29" s="3"/>
      <c r="Q29" s="3"/>
      <c r="R29" s="3"/>
      <c r="S29" s="3"/>
      <c r="T29" s="3"/>
      <c r="U29" s="3"/>
      <c r="V29" s="3"/>
    </row>
    <row r="30" spans="1:22" ht="22.5" customHeight="1">
      <c r="A30" s="3"/>
      <c r="B30" s="16"/>
      <c r="C30" s="16"/>
      <c r="D30" s="16"/>
      <c r="E30" s="16"/>
      <c r="F30" s="16"/>
      <c r="G30" s="16"/>
      <c r="H30" s="16"/>
      <c r="I30" s="17"/>
      <c r="J30" s="17"/>
      <c r="K30" s="17"/>
      <c r="L30" s="11"/>
      <c r="M30" s="11"/>
      <c r="N30" s="3"/>
      <c r="O30" s="3"/>
      <c r="P30" s="3"/>
      <c r="Q30" s="3"/>
      <c r="R30" s="3"/>
      <c r="S30" s="3"/>
      <c r="T30" s="3"/>
      <c r="U30" s="3"/>
      <c r="V30" s="3"/>
    </row>
    <row r="31" spans="1:22" ht="22.5" customHeight="1">
      <c r="A31" s="3"/>
      <c r="B31" s="18"/>
      <c r="C31" s="18"/>
      <c r="D31" s="18"/>
      <c r="E31" s="18"/>
      <c r="F31" s="18"/>
      <c r="G31" s="18"/>
      <c r="H31" s="18"/>
      <c r="I31" s="19"/>
      <c r="J31" s="19"/>
      <c r="K31" s="19"/>
      <c r="L31" s="11"/>
      <c r="M31" s="11"/>
      <c r="N31" s="3"/>
      <c r="O31" s="3"/>
      <c r="P31" s="3"/>
      <c r="Q31" s="3"/>
      <c r="R31" s="3"/>
      <c r="S31" s="3"/>
      <c r="T31" s="3"/>
      <c r="U31" s="3"/>
      <c r="V31" s="3"/>
    </row>
    <row r="32" spans="1:22" ht="22.5" customHeight="1">
      <c r="A32" s="3"/>
      <c r="B32" s="16"/>
      <c r="C32" s="16"/>
      <c r="D32" s="16"/>
      <c r="E32" s="16"/>
      <c r="F32" s="16"/>
      <c r="G32" s="16"/>
      <c r="H32" s="16"/>
      <c r="I32" s="17"/>
      <c r="J32" s="17"/>
      <c r="K32" s="17"/>
      <c r="L32" s="11"/>
      <c r="M32" s="11"/>
      <c r="N32" s="3"/>
      <c r="O32" s="3"/>
      <c r="P32" s="3"/>
      <c r="Q32" s="3"/>
      <c r="R32" s="3"/>
      <c r="S32" s="3"/>
      <c r="T32" s="3"/>
      <c r="U32" s="3"/>
      <c r="V32" s="3"/>
    </row>
    <row r="33" spans="1:22" ht="22.5" customHeight="1">
      <c r="A33" s="3"/>
      <c r="B33" s="18"/>
      <c r="C33" s="18"/>
      <c r="D33" s="18"/>
      <c r="E33" s="18"/>
      <c r="F33" s="18"/>
      <c r="G33" s="18"/>
      <c r="H33" s="18"/>
      <c r="I33" s="19"/>
      <c r="J33" s="19"/>
      <c r="K33" s="19"/>
      <c r="L33" s="11"/>
      <c r="M33" s="11"/>
      <c r="N33" s="3"/>
      <c r="O33" s="3"/>
      <c r="P33" s="3"/>
      <c r="Q33" s="3"/>
      <c r="R33" s="3"/>
      <c r="S33" s="3"/>
      <c r="T33" s="3"/>
      <c r="U33" s="3"/>
      <c r="V33" s="3"/>
    </row>
    <row r="34" spans="1:22" ht="22.5" customHeight="1">
      <c r="A34" s="3"/>
      <c r="B34" s="16"/>
      <c r="C34" s="16"/>
      <c r="D34" s="16"/>
      <c r="E34" s="16"/>
      <c r="F34" s="16"/>
      <c r="G34" s="16"/>
      <c r="H34" s="16"/>
      <c r="I34" s="17"/>
      <c r="J34" s="17"/>
      <c r="K34" s="17"/>
      <c r="L34" s="11"/>
      <c r="M34" s="11"/>
      <c r="N34" s="3"/>
      <c r="O34" s="3"/>
      <c r="P34" s="3"/>
      <c r="Q34" s="3"/>
      <c r="R34" s="3"/>
      <c r="S34" s="3"/>
      <c r="T34" s="3"/>
      <c r="U34" s="3"/>
      <c r="V34" s="3"/>
    </row>
    <row r="35" spans="1:22" ht="22.5" customHeight="1">
      <c r="A35" s="3"/>
      <c r="B35" s="18"/>
      <c r="C35" s="18"/>
      <c r="D35" s="18"/>
      <c r="E35" s="18"/>
      <c r="F35" s="18"/>
      <c r="G35" s="18"/>
      <c r="H35" s="18"/>
      <c r="I35" s="19"/>
      <c r="J35" s="19"/>
      <c r="K35" s="19"/>
      <c r="L35" s="11"/>
      <c r="M35" s="11"/>
      <c r="N35" s="3"/>
      <c r="O35" s="3"/>
      <c r="P35" s="3"/>
      <c r="Q35" s="3"/>
      <c r="R35" s="3"/>
      <c r="S35" s="3"/>
      <c r="T35" s="3"/>
      <c r="U35" s="3"/>
      <c r="V35" s="3"/>
    </row>
    <row r="36" spans="1:22" ht="22.5" customHeight="1">
      <c r="A36" s="3"/>
      <c r="B36" s="16"/>
      <c r="C36" s="16"/>
      <c r="D36" s="16"/>
      <c r="E36" s="16"/>
      <c r="F36" s="16"/>
      <c r="G36" s="16"/>
      <c r="H36" s="16"/>
      <c r="I36" s="17"/>
      <c r="J36" s="17"/>
      <c r="K36" s="17"/>
      <c r="L36" s="11"/>
      <c r="M36" s="11"/>
      <c r="N36" s="3"/>
      <c r="O36" s="3"/>
      <c r="P36" s="3"/>
      <c r="Q36" s="3"/>
      <c r="R36" s="3"/>
      <c r="S36" s="3"/>
      <c r="T36" s="3"/>
      <c r="U36" s="3"/>
      <c r="V36" s="3"/>
    </row>
    <row r="37" spans="1:22" ht="22.5" customHeight="1">
      <c r="A37" s="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1"/>
      <c r="M37" s="11"/>
      <c r="N37" s="3"/>
      <c r="O37" s="3"/>
      <c r="P37" s="3"/>
      <c r="Q37" s="3"/>
      <c r="R37" s="3"/>
      <c r="S37" s="3"/>
      <c r="T37" s="3"/>
      <c r="U37" s="3"/>
      <c r="V37" s="3"/>
    </row>
    <row r="38" spans="1:22" ht="22.5" customHeight="1">
      <c r="A38" s="3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1"/>
      <c r="M38" s="11"/>
      <c r="N38" s="3"/>
      <c r="O38" s="3"/>
      <c r="P38" s="3"/>
      <c r="Q38" s="3"/>
      <c r="R38" s="3"/>
      <c r="S38" s="3"/>
      <c r="T38" s="3"/>
      <c r="U38" s="3"/>
      <c r="V38" s="3"/>
    </row>
    <row r="39" spans="1:22" ht="22.5" customHeight="1">
      <c r="A39" s="3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1"/>
      <c r="M39" s="11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9"/>
  <sheetViews>
    <sheetView workbookViewId="0"/>
  </sheetViews>
  <sheetFormatPr defaultColWidth="12.6640625" defaultRowHeight="15.75" customHeight="1"/>
  <cols>
    <col min="1" max="1" width="22.88671875" customWidth="1"/>
    <col min="2" max="2" width="31.21875" customWidth="1"/>
    <col min="5" max="5" width="24.109375" customWidth="1"/>
    <col min="7" max="7" width="28.77734375" customWidth="1"/>
    <col min="9" max="9" width="21.88671875" customWidth="1"/>
    <col min="11" max="11" width="29.21875" customWidth="1"/>
  </cols>
  <sheetData>
    <row r="1" spans="1:29">
      <c r="A1" s="1"/>
      <c r="B1" s="1" t="s">
        <v>27</v>
      </c>
      <c r="C1" s="1"/>
      <c r="D1" s="1"/>
      <c r="E1" s="1" t="s">
        <v>28</v>
      </c>
      <c r="K1" s="1" t="s">
        <v>29</v>
      </c>
    </row>
    <row r="2" spans="1:29">
      <c r="K2" s="1"/>
    </row>
    <row r="3" spans="1:29">
      <c r="A3" s="1"/>
      <c r="B3" s="1" t="s">
        <v>30</v>
      </c>
      <c r="C3" s="1">
        <v>5226.16</v>
      </c>
      <c r="E3" s="1" t="s">
        <v>31</v>
      </c>
      <c r="F3" s="1">
        <v>669.7</v>
      </c>
      <c r="G3" s="1" t="s">
        <v>32</v>
      </c>
      <c r="H3" s="1">
        <f t="shared" ref="H3:H6" si="0">IF(G3="x",F3,0)</f>
        <v>669.7</v>
      </c>
      <c r="K3" s="1" t="s">
        <v>25</v>
      </c>
    </row>
    <row r="4" spans="1:29">
      <c r="A4" s="1"/>
      <c r="B4" s="1" t="s">
        <v>33</v>
      </c>
      <c r="C4" s="1">
        <v>2086.77</v>
      </c>
      <c r="E4" s="1" t="s">
        <v>34</v>
      </c>
      <c r="H4" s="1">
        <f t="shared" si="0"/>
        <v>0</v>
      </c>
      <c r="K4" s="1" t="s">
        <v>26</v>
      </c>
    </row>
    <row r="5" spans="1:29">
      <c r="A5" s="1"/>
      <c r="B5" s="1" t="s">
        <v>35</v>
      </c>
      <c r="E5" s="1" t="s">
        <v>36</v>
      </c>
      <c r="F5" s="1">
        <v>66.319999999999993</v>
      </c>
      <c r="G5" s="1" t="s">
        <v>32</v>
      </c>
      <c r="H5" s="1">
        <f t="shared" si="0"/>
        <v>66.319999999999993</v>
      </c>
      <c r="K5" s="1" t="s">
        <v>26</v>
      </c>
    </row>
    <row r="6" spans="1:29">
      <c r="E6" s="11" t="s">
        <v>37</v>
      </c>
      <c r="F6" s="10">
        <v>155</v>
      </c>
      <c r="G6" s="11" t="s">
        <v>32</v>
      </c>
      <c r="H6" s="1">
        <f t="shared" si="0"/>
        <v>155</v>
      </c>
      <c r="K6" s="1" t="s">
        <v>26</v>
      </c>
    </row>
    <row r="7" spans="1:29">
      <c r="A7" s="11"/>
      <c r="D7" s="11"/>
      <c r="E7" s="1" t="s">
        <v>38</v>
      </c>
      <c r="F7" s="1">
        <v>995.15</v>
      </c>
      <c r="G7" s="11" t="s">
        <v>32</v>
      </c>
      <c r="H7" s="10">
        <f>IF(G7="x",F7,0)</f>
        <v>995.15</v>
      </c>
      <c r="I7" s="11"/>
      <c r="J7" s="11"/>
      <c r="K7" s="1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B8" s="1" t="s">
        <v>39</v>
      </c>
      <c r="C8" s="1">
        <v>160.88999999999999</v>
      </c>
      <c r="E8" s="1" t="s">
        <v>40</v>
      </c>
      <c r="F8" s="1">
        <v>883.42</v>
      </c>
      <c r="G8" s="1" t="s">
        <v>32</v>
      </c>
      <c r="H8" s="1">
        <f t="shared" ref="H8:H21" si="1">IF(G8="x",F8,0)</f>
        <v>883.42</v>
      </c>
      <c r="K8" s="1" t="s">
        <v>25</v>
      </c>
    </row>
    <row r="9" spans="1:29">
      <c r="B9" s="11" t="s">
        <v>41</v>
      </c>
      <c r="C9" s="11">
        <v>4</v>
      </c>
      <c r="E9" s="1" t="s">
        <v>42</v>
      </c>
      <c r="F9" s="1">
        <v>11.46</v>
      </c>
      <c r="H9" s="1">
        <f t="shared" si="1"/>
        <v>0</v>
      </c>
      <c r="K9" s="1" t="s">
        <v>25</v>
      </c>
    </row>
    <row r="10" spans="1:29">
      <c r="E10" s="1" t="s">
        <v>42</v>
      </c>
      <c r="F10" s="1">
        <v>32.57</v>
      </c>
      <c r="H10" s="1">
        <f t="shared" si="1"/>
        <v>0</v>
      </c>
      <c r="K10" s="1" t="s">
        <v>25</v>
      </c>
    </row>
    <row r="11" spans="1:29">
      <c r="E11" s="1" t="s">
        <v>42</v>
      </c>
      <c r="F11" s="1">
        <v>79.98</v>
      </c>
      <c r="H11" s="1">
        <f t="shared" si="1"/>
        <v>0</v>
      </c>
      <c r="K11" s="1" t="s">
        <v>25</v>
      </c>
    </row>
    <row r="12" spans="1:29">
      <c r="E12" s="1" t="s">
        <v>42</v>
      </c>
      <c r="F12" s="1">
        <v>28.49</v>
      </c>
      <c r="H12" s="1">
        <f t="shared" si="1"/>
        <v>0</v>
      </c>
      <c r="K12" s="1" t="s">
        <v>25</v>
      </c>
    </row>
    <row r="13" spans="1:29">
      <c r="E13" s="1" t="s">
        <v>43</v>
      </c>
      <c r="F13" s="1">
        <v>6.99</v>
      </c>
      <c r="H13" s="1">
        <f t="shared" si="1"/>
        <v>0</v>
      </c>
      <c r="K13" s="1" t="s">
        <v>44</v>
      </c>
    </row>
    <row r="14" spans="1:29">
      <c r="E14" s="1" t="s">
        <v>45</v>
      </c>
      <c r="F14" s="1">
        <v>65</v>
      </c>
      <c r="H14" s="1">
        <f t="shared" si="1"/>
        <v>0</v>
      </c>
      <c r="K14" s="1" t="s">
        <v>26</v>
      </c>
    </row>
    <row r="15" spans="1:29">
      <c r="E15" s="1" t="s">
        <v>46</v>
      </c>
      <c r="F15" s="1">
        <v>208</v>
      </c>
      <c r="H15" s="1">
        <f t="shared" si="1"/>
        <v>0</v>
      </c>
      <c r="K15" s="1" t="s">
        <v>26</v>
      </c>
    </row>
    <row r="16" spans="1:29">
      <c r="E16" s="1" t="s">
        <v>47</v>
      </c>
      <c r="F16" s="1">
        <v>24.99</v>
      </c>
      <c r="H16" s="1">
        <f t="shared" si="1"/>
        <v>0</v>
      </c>
      <c r="K16" s="1" t="s">
        <v>44</v>
      </c>
    </row>
    <row r="17" spans="1:29">
      <c r="H17" s="1">
        <f t="shared" si="1"/>
        <v>0</v>
      </c>
      <c r="K17" s="1" t="s">
        <v>44</v>
      </c>
    </row>
    <row r="18" spans="1:29">
      <c r="E18" s="1" t="s">
        <v>48</v>
      </c>
      <c r="F18" s="1">
        <v>14.99</v>
      </c>
      <c r="H18" s="1">
        <f t="shared" si="1"/>
        <v>0</v>
      </c>
      <c r="K18" s="1" t="s">
        <v>44</v>
      </c>
    </row>
    <row r="19" spans="1:29">
      <c r="E19" s="1" t="s">
        <v>49</v>
      </c>
      <c r="F19" s="1">
        <v>14.99</v>
      </c>
      <c r="H19" s="1">
        <f t="shared" si="1"/>
        <v>0</v>
      </c>
      <c r="K19" s="1" t="s">
        <v>44</v>
      </c>
    </row>
    <row r="20" spans="1:29">
      <c r="E20" s="1" t="s">
        <v>50</v>
      </c>
      <c r="F20" s="1">
        <v>10.99</v>
      </c>
      <c r="H20" s="1">
        <f t="shared" si="1"/>
        <v>0</v>
      </c>
      <c r="K20" s="1" t="s">
        <v>44</v>
      </c>
    </row>
    <row r="21" spans="1:29">
      <c r="E21" s="1" t="s">
        <v>51</v>
      </c>
      <c r="F21" s="1">
        <v>104.98</v>
      </c>
      <c r="H21" s="1">
        <f t="shared" si="1"/>
        <v>0</v>
      </c>
      <c r="K21" s="1" t="s">
        <v>52</v>
      </c>
    </row>
    <row r="22" spans="1:29">
      <c r="K22" s="1"/>
    </row>
    <row r="23" spans="1:29">
      <c r="E23" s="1" t="s">
        <v>53</v>
      </c>
      <c r="F23" s="1">
        <v>62.88</v>
      </c>
      <c r="H23" s="1">
        <f t="shared" ref="H23:H29" si="2">IF(G23="x",F23,0)</f>
        <v>0</v>
      </c>
      <c r="K23" s="1" t="s">
        <v>52</v>
      </c>
    </row>
    <row r="24" spans="1:29">
      <c r="E24" s="1" t="s">
        <v>54</v>
      </c>
      <c r="F24" s="1">
        <v>331.65</v>
      </c>
      <c r="H24" s="1">
        <f t="shared" si="2"/>
        <v>0</v>
      </c>
      <c r="K24" s="1" t="s">
        <v>55</v>
      </c>
    </row>
    <row r="25" spans="1:29">
      <c r="E25" s="1" t="s">
        <v>56</v>
      </c>
      <c r="F25" s="1">
        <v>88.03</v>
      </c>
      <c r="H25" s="1">
        <f t="shared" si="2"/>
        <v>0</v>
      </c>
      <c r="K25" s="1" t="s">
        <v>52</v>
      </c>
    </row>
    <row r="26" spans="1:29">
      <c r="E26" s="1" t="s">
        <v>57</v>
      </c>
      <c r="F26" s="1">
        <v>18.989999999999998</v>
      </c>
      <c r="H26" s="1">
        <f t="shared" si="2"/>
        <v>0</v>
      </c>
      <c r="K26" s="1" t="s">
        <v>52</v>
      </c>
    </row>
    <row r="27" spans="1:29">
      <c r="E27" s="1" t="s">
        <v>58</v>
      </c>
      <c r="F27" s="1">
        <v>20</v>
      </c>
      <c r="G27" s="1" t="s">
        <v>32</v>
      </c>
      <c r="H27" s="1">
        <f t="shared" si="2"/>
        <v>20</v>
      </c>
      <c r="K27" s="1" t="s">
        <v>59</v>
      </c>
    </row>
    <row r="28" spans="1:29">
      <c r="E28" s="1" t="s">
        <v>60</v>
      </c>
      <c r="F28" s="1">
        <v>21.99</v>
      </c>
      <c r="H28" s="1">
        <f t="shared" si="2"/>
        <v>0</v>
      </c>
      <c r="K28" s="1" t="s">
        <v>44</v>
      </c>
    </row>
    <row r="29" spans="1:29">
      <c r="H29" s="1">
        <f t="shared" si="2"/>
        <v>0</v>
      </c>
      <c r="K29" s="1" t="s">
        <v>55</v>
      </c>
    </row>
    <row r="30" spans="1:29">
      <c r="E30" s="1" t="s">
        <v>61</v>
      </c>
      <c r="F30" s="1">
        <v>21.4</v>
      </c>
      <c r="G30" s="11"/>
      <c r="H30" s="10">
        <f>IF(G30="x",F30,0)</f>
        <v>0</v>
      </c>
      <c r="K30" s="1" t="s">
        <v>55</v>
      </c>
    </row>
    <row r="31" spans="1:29">
      <c r="E31" s="11" t="s">
        <v>62</v>
      </c>
      <c r="F31" s="10">
        <v>0.99</v>
      </c>
      <c r="H31" s="1">
        <f t="shared" ref="H31:H38" si="3">IF(G31="x",F31,0)</f>
        <v>0</v>
      </c>
      <c r="K31" s="1" t="s">
        <v>44</v>
      </c>
    </row>
    <row r="32" spans="1:29">
      <c r="A32" s="11"/>
      <c r="B32" s="11"/>
      <c r="C32" s="11"/>
      <c r="D32" s="11"/>
      <c r="E32" s="1" t="s">
        <v>62</v>
      </c>
      <c r="F32" s="1">
        <v>0.99</v>
      </c>
      <c r="G32" s="1" t="s">
        <v>32</v>
      </c>
      <c r="H32" s="1">
        <f t="shared" si="3"/>
        <v>0.99</v>
      </c>
      <c r="I32" s="11"/>
      <c r="J32" s="11"/>
      <c r="K32" s="1" t="s">
        <v>44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A33" s="11"/>
      <c r="B33" s="11"/>
      <c r="C33" s="11"/>
      <c r="D33" s="11"/>
      <c r="E33" s="1" t="s">
        <v>62</v>
      </c>
      <c r="F33" s="1">
        <v>16.989999999999998</v>
      </c>
      <c r="H33" s="1">
        <f t="shared" si="3"/>
        <v>0</v>
      </c>
      <c r="I33" s="11"/>
      <c r="J33" s="11"/>
      <c r="K33" s="1" t="s">
        <v>44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E34" s="1" t="s">
        <v>63</v>
      </c>
      <c r="F34" s="1">
        <v>450</v>
      </c>
      <c r="H34" s="1">
        <f t="shared" si="3"/>
        <v>0</v>
      </c>
      <c r="I34" s="11"/>
      <c r="J34" s="11"/>
      <c r="K34" s="1" t="s">
        <v>64</v>
      </c>
    </row>
    <row r="35" spans="1:29">
      <c r="A35" s="1"/>
      <c r="E35" s="1" t="s">
        <v>65</v>
      </c>
      <c r="F35" s="1">
        <v>170</v>
      </c>
      <c r="H35" s="1">
        <f t="shared" si="3"/>
        <v>0</v>
      </c>
      <c r="K35" s="1" t="s">
        <v>25</v>
      </c>
    </row>
    <row r="36" spans="1:29">
      <c r="A36" s="1"/>
      <c r="C36" s="1"/>
      <c r="E36" s="1" t="s">
        <v>66</v>
      </c>
      <c r="F36" s="1">
        <v>34</v>
      </c>
      <c r="G36" s="1" t="s">
        <v>32</v>
      </c>
      <c r="H36" s="1">
        <f t="shared" si="3"/>
        <v>34</v>
      </c>
      <c r="K36" s="1" t="s">
        <v>25</v>
      </c>
    </row>
    <row r="37" spans="1:29">
      <c r="A37" s="1"/>
      <c r="C37" s="1"/>
      <c r="E37" s="1" t="s">
        <v>67</v>
      </c>
      <c r="F37" s="1">
        <v>19.03</v>
      </c>
      <c r="H37" s="1">
        <f t="shared" si="3"/>
        <v>0</v>
      </c>
      <c r="K37" s="1" t="s">
        <v>26</v>
      </c>
    </row>
    <row r="38" spans="1:29">
      <c r="A38" s="1"/>
      <c r="C38" s="1"/>
      <c r="E38" s="1" t="s">
        <v>68</v>
      </c>
      <c r="F38" s="1">
        <v>33.89</v>
      </c>
      <c r="H38" s="1">
        <f t="shared" si="3"/>
        <v>0</v>
      </c>
      <c r="K38" s="1" t="s">
        <v>26</v>
      </c>
    </row>
    <row r="39" spans="1:29">
      <c r="A39" s="1" t="s">
        <v>69</v>
      </c>
      <c r="C39" s="1" t="e">
        <f>'Aout 2026'!D43</f>
        <v>#REF!</v>
      </c>
      <c r="K39" s="1"/>
    </row>
    <row r="40" spans="1:29">
      <c r="A40" s="1" t="s">
        <v>70</v>
      </c>
      <c r="C40" s="1">
        <f>SUM(C2:C6)</f>
        <v>7312.93</v>
      </c>
      <c r="E40" s="1" t="s">
        <v>71</v>
      </c>
      <c r="F40" s="1">
        <f>SUM(F2:F38)</f>
        <v>4663.8499999999985</v>
      </c>
      <c r="G40" s="1" t="s">
        <v>72</v>
      </c>
      <c r="H40" s="1">
        <f>SUM(H2:H38)</f>
        <v>2824.58</v>
      </c>
      <c r="I40" s="1" t="s">
        <v>73</v>
      </c>
      <c r="K40" s="1"/>
    </row>
    <row r="41" spans="1:29">
      <c r="A41" s="1" t="s">
        <v>74</v>
      </c>
      <c r="C41" s="1">
        <f>SUM(C8:C35)</f>
        <v>164.89</v>
      </c>
      <c r="E41" s="1" t="s">
        <v>75</v>
      </c>
      <c r="F41" s="1" t="e">
        <f>C42-F40</f>
        <v>#REF!</v>
      </c>
      <c r="G41" s="1" t="s">
        <v>76</v>
      </c>
      <c r="H41" s="1" t="e">
        <f>C39+C40+C41-H40-F42</f>
        <v>#REF!</v>
      </c>
      <c r="K41" s="1"/>
    </row>
    <row r="42" spans="1:29">
      <c r="A42" s="1" t="s">
        <v>77</v>
      </c>
      <c r="C42" s="1" t="e">
        <f>SUM(C39:C41)</f>
        <v>#REF!</v>
      </c>
      <c r="E42" s="1" t="s">
        <v>78</v>
      </c>
      <c r="F42" s="1">
        <f>SUM(J44:J247)</f>
        <v>597.09</v>
      </c>
      <c r="K42" s="1"/>
    </row>
    <row r="43" spans="1:29" ht="15.75" customHeight="1">
      <c r="A43" s="12" t="s">
        <v>79</v>
      </c>
      <c r="B43" s="12" t="e">
        <f>$C$42-$F$40-$F$42</f>
        <v>#REF!</v>
      </c>
      <c r="C43" s="1" t="s">
        <v>80</v>
      </c>
      <c r="D43" s="1" t="e">
        <f>$C$42-$H$40-$F$42</f>
        <v>#REF!</v>
      </c>
      <c r="K43" s="1"/>
    </row>
    <row r="44" spans="1:29">
      <c r="A44" s="1" t="str">
        <f>IF(AND(NOT(ISBLANK(#REF!)),ISBLANK(G44)),"Reste prévu","")</f>
        <v/>
      </c>
      <c r="B44" s="1" t="str">
        <f>IF(AND(NOT(ISBLANK(#REF!)),ISBLANK($G44)),$C$42-$F$40-$F$42,"")</f>
        <v/>
      </c>
      <c r="C44" s="1" t="str">
        <f>IF(AND(NOT(ISBLANK(#REF!)),ISBLANK($G44)),"Reste réel","")</f>
        <v/>
      </c>
      <c r="D44" s="1" t="str">
        <f>IF(AND(NOT(ISBLANK(#REF!)),ISBLANK($G44)),$C$42-$H$40-$F$42,"")</f>
        <v/>
      </c>
      <c r="G44" s="1" t="s">
        <v>82</v>
      </c>
      <c r="H44" s="1">
        <v>22.59</v>
      </c>
      <c r="I44" s="1" t="s">
        <v>32</v>
      </c>
      <c r="J44" s="13">
        <f t="shared" ref="J44:J214" si="4">IF(I44="x",H44,0)</f>
        <v>22.59</v>
      </c>
      <c r="K44" s="1" t="s">
        <v>83</v>
      </c>
    </row>
    <row r="45" spans="1:29">
      <c r="A45" s="1" t="str">
        <f t="shared" ref="A45:A78" si="5">IF(AND(NOT(ISBLANK(G44)),ISBLANK(G45)),"Reste prévu","")</f>
        <v/>
      </c>
      <c r="B45" s="1" t="str">
        <f t="shared" ref="B45:B78" si="6">IF(AND(NOT(ISBLANK($G44)),ISBLANK($G45)),$C$42-$F$40-$F$42,"")</f>
        <v/>
      </c>
      <c r="C45" s="1" t="str">
        <f t="shared" ref="C45:C78" si="7">IF(AND(NOT(ISBLANK($G44)),ISBLANK($G45)),"Reste réel","")</f>
        <v/>
      </c>
      <c r="D45" s="1" t="str">
        <f t="shared" ref="D45:D78" si="8">IF(AND(NOT(ISBLANK($G44)),ISBLANK($G45)),$C$42-$H$40-$F$42,"")</f>
        <v/>
      </c>
      <c r="G45" s="1" t="s">
        <v>84</v>
      </c>
      <c r="H45" s="1">
        <v>38.200000000000003</v>
      </c>
      <c r="I45" s="1" t="s">
        <v>32</v>
      </c>
      <c r="J45" s="13">
        <f t="shared" si="4"/>
        <v>38.200000000000003</v>
      </c>
      <c r="K45" s="1" t="s">
        <v>85</v>
      </c>
    </row>
    <row r="46" spans="1:29">
      <c r="A46" s="1" t="str">
        <f t="shared" si="5"/>
        <v/>
      </c>
      <c r="B46" s="1" t="str">
        <f t="shared" si="6"/>
        <v/>
      </c>
      <c r="C46" s="1" t="str">
        <f t="shared" si="7"/>
        <v/>
      </c>
      <c r="D46" s="1" t="str">
        <f t="shared" si="8"/>
        <v/>
      </c>
      <c r="G46" s="1" t="s">
        <v>86</v>
      </c>
      <c r="H46" s="1">
        <v>9.99</v>
      </c>
      <c r="I46" s="1" t="s">
        <v>32</v>
      </c>
      <c r="J46" s="13">
        <f t="shared" si="4"/>
        <v>9.99</v>
      </c>
      <c r="K46" s="1" t="s">
        <v>59</v>
      </c>
    </row>
    <row r="47" spans="1:29">
      <c r="A47" s="1" t="str">
        <f t="shared" si="5"/>
        <v/>
      </c>
      <c r="B47" s="1" t="str">
        <f t="shared" si="6"/>
        <v/>
      </c>
      <c r="C47" s="1" t="str">
        <f t="shared" si="7"/>
        <v/>
      </c>
      <c r="D47" s="1" t="str">
        <f t="shared" si="8"/>
        <v/>
      </c>
      <c r="G47" s="1" t="s">
        <v>82</v>
      </c>
      <c r="H47" s="1">
        <v>46.49</v>
      </c>
      <c r="I47" s="1" t="s">
        <v>32</v>
      </c>
      <c r="J47" s="13">
        <f t="shared" si="4"/>
        <v>46.49</v>
      </c>
      <c r="K47" s="1" t="s">
        <v>83</v>
      </c>
    </row>
    <row r="48" spans="1:29">
      <c r="A48" s="1" t="str">
        <f t="shared" si="5"/>
        <v/>
      </c>
      <c r="B48" s="1" t="str">
        <f t="shared" si="6"/>
        <v/>
      </c>
      <c r="C48" s="1" t="str">
        <f t="shared" si="7"/>
        <v/>
      </c>
      <c r="D48" s="1" t="str">
        <f t="shared" si="8"/>
        <v/>
      </c>
      <c r="G48" s="1" t="s">
        <v>87</v>
      </c>
      <c r="H48" s="1">
        <v>37.92</v>
      </c>
      <c r="I48" s="1" t="s">
        <v>32</v>
      </c>
      <c r="J48" s="13">
        <f t="shared" si="4"/>
        <v>37.92</v>
      </c>
      <c r="K48" s="1" t="s">
        <v>24</v>
      </c>
    </row>
    <row r="49" spans="1:11">
      <c r="A49" s="1" t="str">
        <f t="shared" si="5"/>
        <v/>
      </c>
      <c r="B49" s="1" t="str">
        <f t="shared" si="6"/>
        <v/>
      </c>
      <c r="C49" s="1" t="str">
        <f t="shared" si="7"/>
        <v/>
      </c>
      <c r="D49" s="1" t="str">
        <f t="shared" si="8"/>
        <v/>
      </c>
      <c r="G49" s="1" t="s">
        <v>87</v>
      </c>
      <c r="H49" s="1">
        <v>38.72</v>
      </c>
      <c r="I49" s="1" t="s">
        <v>32</v>
      </c>
      <c r="J49" s="13">
        <f t="shared" si="4"/>
        <v>38.72</v>
      </c>
      <c r="K49" s="1" t="s">
        <v>24</v>
      </c>
    </row>
    <row r="50" spans="1:11">
      <c r="A50" s="1" t="str">
        <f t="shared" si="5"/>
        <v/>
      </c>
      <c r="B50" s="1" t="str">
        <f t="shared" si="6"/>
        <v/>
      </c>
      <c r="C50" s="1" t="str">
        <f t="shared" si="7"/>
        <v/>
      </c>
      <c r="D50" s="1" t="str">
        <f t="shared" si="8"/>
        <v/>
      </c>
      <c r="G50" s="1" t="s">
        <v>88</v>
      </c>
      <c r="H50" s="1">
        <v>52.92</v>
      </c>
      <c r="I50" s="1" t="s">
        <v>32</v>
      </c>
      <c r="J50" s="13">
        <f t="shared" si="4"/>
        <v>52.92</v>
      </c>
      <c r="K50" s="1" t="s">
        <v>89</v>
      </c>
    </row>
    <row r="51" spans="1:11">
      <c r="A51" s="1" t="str">
        <f t="shared" si="5"/>
        <v/>
      </c>
      <c r="B51" s="1" t="str">
        <f t="shared" si="6"/>
        <v/>
      </c>
      <c r="C51" s="1" t="str">
        <f t="shared" si="7"/>
        <v/>
      </c>
      <c r="D51" s="1" t="str">
        <f t="shared" si="8"/>
        <v/>
      </c>
      <c r="G51" s="1" t="s">
        <v>90</v>
      </c>
      <c r="H51" s="1">
        <v>18.7</v>
      </c>
      <c r="I51" s="1" t="s">
        <v>32</v>
      </c>
      <c r="J51" s="13">
        <f t="shared" si="4"/>
        <v>18.7</v>
      </c>
      <c r="K51" s="1" t="s">
        <v>59</v>
      </c>
    </row>
    <row r="52" spans="1:11">
      <c r="A52" s="1" t="str">
        <f t="shared" si="5"/>
        <v/>
      </c>
      <c r="B52" s="1" t="str">
        <f t="shared" si="6"/>
        <v/>
      </c>
      <c r="C52" s="1" t="str">
        <f t="shared" si="7"/>
        <v/>
      </c>
      <c r="D52" s="1" t="str">
        <f t="shared" si="8"/>
        <v/>
      </c>
      <c r="G52" s="1" t="s">
        <v>91</v>
      </c>
      <c r="H52" s="1">
        <v>25</v>
      </c>
      <c r="I52" s="1" t="s">
        <v>32</v>
      </c>
      <c r="J52" s="13">
        <f t="shared" si="4"/>
        <v>25</v>
      </c>
      <c r="K52" s="1" t="s">
        <v>59</v>
      </c>
    </row>
    <row r="53" spans="1:11">
      <c r="A53" s="1" t="str">
        <f t="shared" si="5"/>
        <v/>
      </c>
      <c r="B53" s="1" t="str">
        <f t="shared" si="6"/>
        <v/>
      </c>
      <c r="C53" s="1" t="str">
        <f t="shared" si="7"/>
        <v/>
      </c>
      <c r="D53" s="1" t="str">
        <f t="shared" si="8"/>
        <v/>
      </c>
      <c r="G53" s="1" t="s">
        <v>92</v>
      </c>
      <c r="H53" s="1">
        <v>11.75</v>
      </c>
      <c r="I53" s="1" t="s">
        <v>32</v>
      </c>
      <c r="J53" s="13">
        <f t="shared" si="4"/>
        <v>11.75</v>
      </c>
      <c r="K53" s="1" t="s">
        <v>24</v>
      </c>
    </row>
    <row r="54" spans="1:11">
      <c r="A54" s="1" t="str">
        <f t="shared" si="5"/>
        <v/>
      </c>
      <c r="B54" s="1" t="str">
        <f t="shared" si="6"/>
        <v/>
      </c>
      <c r="C54" s="1" t="str">
        <f t="shared" si="7"/>
        <v/>
      </c>
      <c r="D54" s="1" t="str">
        <f t="shared" si="8"/>
        <v/>
      </c>
      <c r="G54" s="1" t="s">
        <v>93</v>
      </c>
      <c r="H54" s="1">
        <v>98.37</v>
      </c>
      <c r="I54" s="1" t="s">
        <v>32</v>
      </c>
      <c r="J54" s="13">
        <f t="shared" si="4"/>
        <v>98.37</v>
      </c>
      <c r="K54" s="1" t="s">
        <v>24</v>
      </c>
    </row>
    <row r="55" spans="1:11">
      <c r="A55" s="1" t="str">
        <f t="shared" si="5"/>
        <v/>
      </c>
      <c r="B55" s="1" t="str">
        <f t="shared" si="6"/>
        <v/>
      </c>
      <c r="C55" s="1" t="str">
        <f t="shared" si="7"/>
        <v/>
      </c>
      <c r="D55" s="1" t="str">
        <f t="shared" si="8"/>
        <v/>
      </c>
      <c r="G55" s="1" t="s">
        <v>94</v>
      </c>
      <c r="H55" s="1">
        <v>118.97</v>
      </c>
      <c r="I55" s="1" t="s">
        <v>32</v>
      </c>
      <c r="J55" s="13">
        <f t="shared" si="4"/>
        <v>118.97</v>
      </c>
      <c r="K55" s="1" t="s">
        <v>64</v>
      </c>
    </row>
    <row r="56" spans="1:11">
      <c r="A56" s="1" t="str">
        <f t="shared" si="5"/>
        <v/>
      </c>
      <c r="B56" s="1" t="str">
        <f t="shared" si="6"/>
        <v/>
      </c>
      <c r="C56" s="1" t="str">
        <f t="shared" si="7"/>
        <v/>
      </c>
      <c r="D56" s="1" t="str">
        <f t="shared" si="8"/>
        <v/>
      </c>
      <c r="G56" s="1" t="s">
        <v>95</v>
      </c>
      <c r="H56" s="1">
        <v>10</v>
      </c>
      <c r="I56" s="1" t="s">
        <v>32</v>
      </c>
      <c r="J56" s="13">
        <f t="shared" si="4"/>
        <v>10</v>
      </c>
      <c r="K56" s="1" t="s">
        <v>89</v>
      </c>
    </row>
    <row r="57" spans="1:11">
      <c r="A57" s="1" t="str">
        <f t="shared" si="5"/>
        <v/>
      </c>
      <c r="B57" s="1" t="str">
        <f t="shared" si="6"/>
        <v/>
      </c>
      <c r="C57" s="1" t="str">
        <f t="shared" si="7"/>
        <v/>
      </c>
      <c r="D57" s="1" t="str">
        <f t="shared" si="8"/>
        <v/>
      </c>
      <c r="G57" s="1" t="s">
        <v>96</v>
      </c>
      <c r="H57" s="1">
        <v>3.73</v>
      </c>
      <c r="I57" s="1" t="s">
        <v>32</v>
      </c>
      <c r="J57" s="13">
        <f t="shared" si="4"/>
        <v>3.73</v>
      </c>
      <c r="K57" s="1" t="s">
        <v>24</v>
      </c>
    </row>
    <row r="58" spans="1:11">
      <c r="A58" s="1" t="str">
        <f t="shared" si="5"/>
        <v/>
      </c>
      <c r="B58" s="1" t="str">
        <f t="shared" si="6"/>
        <v/>
      </c>
      <c r="C58" s="1" t="str">
        <f t="shared" si="7"/>
        <v/>
      </c>
      <c r="D58" s="1" t="str">
        <f t="shared" si="8"/>
        <v/>
      </c>
      <c r="G58" s="1" t="s">
        <v>97</v>
      </c>
      <c r="H58" s="1">
        <v>63.74</v>
      </c>
      <c r="I58" s="1" t="s">
        <v>32</v>
      </c>
      <c r="J58" s="13">
        <f t="shared" si="4"/>
        <v>63.74</v>
      </c>
      <c r="K58" s="1" t="s">
        <v>24</v>
      </c>
    </row>
    <row r="59" spans="1:11">
      <c r="A59" s="1" t="str">
        <f t="shared" si="5"/>
        <v>Reste prévu</v>
      </c>
      <c r="B59" s="1" t="e">
        <f t="shared" si="6"/>
        <v>#REF!</v>
      </c>
      <c r="C59" s="1" t="str">
        <f t="shared" si="7"/>
        <v>Reste réel</v>
      </c>
      <c r="D59" s="1" t="e">
        <f t="shared" si="8"/>
        <v>#REF!</v>
      </c>
      <c r="J59" s="13">
        <f t="shared" si="4"/>
        <v>0</v>
      </c>
      <c r="K59" s="1" t="s">
        <v>89</v>
      </c>
    </row>
    <row r="60" spans="1:11">
      <c r="A60" s="1" t="str">
        <f t="shared" si="5"/>
        <v/>
      </c>
      <c r="B60" s="1" t="str">
        <f t="shared" si="6"/>
        <v/>
      </c>
      <c r="C60" s="1" t="str">
        <f t="shared" si="7"/>
        <v/>
      </c>
      <c r="D60" s="1" t="str">
        <f t="shared" si="8"/>
        <v/>
      </c>
      <c r="J60" s="13">
        <f t="shared" si="4"/>
        <v>0</v>
      </c>
      <c r="K60" s="1" t="s">
        <v>24</v>
      </c>
    </row>
    <row r="61" spans="1:11">
      <c r="A61" s="1" t="str">
        <f t="shared" si="5"/>
        <v/>
      </c>
      <c r="B61" s="1" t="str">
        <f t="shared" si="6"/>
        <v/>
      </c>
      <c r="C61" s="1" t="str">
        <f t="shared" si="7"/>
        <v/>
      </c>
      <c r="D61" s="1" t="str">
        <f t="shared" si="8"/>
        <v/>
      </c>
      <c r="J61" s="13">
        <f t="shared" si="4"/>
        <v>0</v>
      </c>
      <c r="K61" s="1" t="s">
        <v>89</v>
      </c>
    </row>
    <row r="62" spans="1:11">
      <c r="A62" s="1" t="str">
        <f t="shared" si="5"/>
        <v/>
      </c>
      <c r="B62" s="1" t="str">
        <f t="shared" si="6"/>
        <v/>
      </c>
      <c r="C62" s="1" t="str">
        <f t="shared" si="7"/>
        <v/>
      </c>
      <c r="D62" s="1" t="str">
        <f t="shared" si="8"/>
        <v/>
      </c>
      <c r="J62" s="13">
        <f t="shared" si="4"/>
        <v>0</v>
      </c>
      <c r="K62" s="1" t="s">
        <v>24</v>
      </c>
    </row>
    <row r="63" spans="1:11">
      <c r="A63" s="1" t="str">
        <f t="shared" si="5"/>
        <v/>
      </c>
      <c r="B63" s="1" t="str">
        <f t="shared" si="6"/>
        <v/>
      </c>
      <c r="C63" s="1" t="str">
        <f t="shared" si="7"/>
        <v/>
      </c>
      <c r="D63" s="1" t="str">
        <f t="shared" si="8"/>
        <v/>
      </c>
      <c r="J63" s="13">
        <f t="shared" si="4"/>
        <v>0</v>
      </c>
      <c r="K63" s="1" t="s">
        <v>24</v>
      </c>
    </row>
    <row r="64" spans="1:11">
      <c r="A64" s="1" t="str">
        <f t="shared" si="5"/>
        <v/>
      </c>
      <c r="B64" s="1" t="str">
        <f t="shared" si="6"/>
        <v/>
      </c>
      <c r="C64" s="1" t="str">
        <f t="shared" si="7"/>
        <v/>
      </c>
      <c r="D64" s="1" t="str">
        <f t="shared" si="8"/>
        <v/>
      </c>
      <c r="J64" s="13">
        <f t="shared" si="4"/>
        <v>0</v>
      </c>
      <c r="K64" s="1" t="s">
        <v>24</v>
      </c>
    </row>
    <row r="65" spans="1:11">
      <c r="A65" s="1" t="str">
        <f t="shared" si="5"/>
        <v/>
      </c>
      <c r="B65" s="1" t="str">
        <f t="shared" si="6"/>
        <v/>
      </c>
      <c r="C65" s="1" t="str">
        <f t="shared" si="7"/>
        <v/>
      </c>
      <c r="D65" s="1" t="str">
        <f t="shared" si="8"/>
        <v/>
      </c>
      <c r="J65" s="13">
        <f t="shared" si="4"/>
        <v>0</v>
      </c>
      <c r="K65" s="1" t="s">
        <v>59</v>
      </c>
    </row>
    <row r="66" spans="1:11">
      <c r="A66" s="1" t="str">
        <f t="shared" si="5"/>
        <v/>
      </c>
      <c r="B66" s="1" t="str">
        <f t="shared" si="6"/>
        <v/>
      </c>
      <c r="C66" s="1" t="str">
        <f t="shared" si="7"/>
        <v/>
      </c>
      <c r="D66" s="1" t="str">
        <f t="shared" si="8"/>
        <v/>
      </c>
      <c r="J66" s="13">
        <f t="shared" si="4"/>
        <v>0</v>
      </c>
      <c r="K66" s="1" t="s">
        <v>59</v>
      </c>
    </row>
    <row r="67" spans="1:11">
      <c r="A67" s="1" t="str">
        <f t="shared" si="5"/>
        <v/>
      </c>
      <c r="B67" s="1" t="str">
        <f t="shared" si="6"/>
        <v/>
      </c>
      <c r="C67" s="1" t="str">
        <f t="shared" si="7"/>
        <v/>
      </c>
      <c r="D67" s="1" t="str">
        <f t="shared" si="8"/>
        <v/>
      </c>
      <c r="J67" s="13">
        <f t="shared" si="4"/>
        <v>0</v>
      </c>
      <c r="K67" s="1" t="s">
        <v>85</v>
      </c>
    </row>
    <row r="68" spans="1:11">
      <c r="A68" s="1" t="str">
        <f t="shared" si="5"/>
        <v/>
      </c>
      <c r="B68" s="1" t="str">
        <f t="shared" si="6"/>
        <v/>
      </c>
      <c r="C68" s="1" t="str">
        <f t="shared" si="7"/>
        <v/>
      </c>
      <c r="D68" s="1" t="str">
        <f t="shared" si="8"/>
        <v/>
      </c>
      <c r="J68" s="13">
        <f t="shared" si="4"/>
        <v>0</v>
      </c>
      <c r="K68" s="1" t="s">
        <v>24</v>
      </c>
    </row>
    <row r="69" spans="1:11">
      <c r="A69" s="1" t="str">
        <f t="shared" si="5"/>
        <v/>
      </c>
      <c r="B69" s="1" t="str">
        <f t="shared" si="6"/>
        <v/>
      </c>
      <c r="C69" s="1" t="str">
        <f t="shared" si="7"/>
        <v/>
      </c>
      <c r="D69" s="1" t="str">
        <f t="shared" si="8"/>
        <v/>
      </c>
      <c r="J69" s="13">
        <f t="shared" si="4"/>
        <v>0</v>
      </c>
      <c r="K69" s="1" t="s">
        <v>24</v>
      </c>
    </row>
    <row r="70" spans="1:11">
      <c r="A70" s="1" t="str">
        <f t="shared" si="5"/>
        <v/>
      </c>
      <c r="B70" s="1" t="str">
        <f t="shared" si="6"/>
        <v/>
      </c>
      <c r="C70" s="1" t="str">
        <f t="shared" si="7"/>
        <v/>
      </c>
      <c r="D70" s="1" t="str">
        <f t="shared" si="8"/>
        <v/>
      </c>
      <c r="J70" s="13">
        <f t="shared" si="4"/>
        <v>0</v>
      </c>
      <c r="K70" s="1" t="s">
        <v>24</v>
      </c>
    </row>
    <row r="71" spans="1:11">
      <c r="A71" s="1" t="str">
        <f t="shared" si="5"/>
        <v/>
      </c>
      <c r="B71" s="1" t="str">
        <f t="shared" si="6"/>
        <v/>
      </c>
      <c r="C71" s="1" t="str">
        <f t="shared" si="7"/>
        <v/>
      </c>
      <c r="D71" s="1" t="str">
        <f t="shared" si="8"/>
        <v/>
      </c>
      <c r="J71" s="13">
        <f t="shared" si="4"/>
        <v>0</v>
      </c>
      <c r="K71" s="1" t="s">
        <v>89</v>
      </c>
    </row>
    <row r="72" spans="1:11">
      <c r="A72" s="1" t="str">
        <f t="shared" si="5"/>
        <v/>
      </c>
      <c r="B72" s="1" t="str">
        <f t="shared" si="6"/>
        <v/>
      </c>
      <c r="C72" s="1" t="str">
        <f t="shared" si="7"/>
        <v/>
      </c>
      <c r="D72" s="1" t="str">
        <f t="shared" si="8"/>
        <v/>
      </c>
      <c r="J72" s="13">
        <f t="shared" si="4"/>
        <v>0</v>
      </c>
      <c r="K72" s="1" t="s">
        <v>89</v>
      </c>
    </row>
    <row r="73" spans="1:11">
      <c r="A73" s="1" t="str">
        <f t="shared" si="5"/>
        <v/>
      </c>
      <c r="B73" s="1" t="str">
        <f t="shared" si="6"/>
        <v/>
      </c>
      <c r="C73" s="1" t="str">
        <f t="shared" si="7"/>
        <v/>
      </c>
      <c r="D73" s="1" t="str">
        <f t="shared" si="8"/>
        <v/>
      </c>
      <c r="J73" s="13">
        <f t="shared" si="4"/>
        <v>0</v>
      </c>
      <c r="K73" s="1" t="s">
        <v>26</v>
      </c>
    </row>
    <row r="74" spans="1:11">
      <c r="A74" s="1" t="str">
        <f t="shared" si="5"/>
        <v/>
      </c>
      <c r="B74" s="1" t="str">
        <f t="shared" si="6"/>
        <v/>
      </c>
      <c r="C74" s="1" t="str">
        <f t="shared" si="7"/>
        <v/>
      </c>
      <c r="D74" s="1" t="str">
        <f t="shared" si="8"/>
        <v/>
      </c>
      <c r="J74" s="13">
        <f t="shared" si="4"/>
        <v>0</v>
      </c>
      <c r="K74" s="1" t="s">
        <v>98</v>
      </c>
    </row>
    <row r="75" spans="1:11">
      <c r="A75" s="1" t="str">
        <f t="shared" si="5"/>
        <v/>
      </c>
      <c r="B75" s="1" t="str">
        <f t="shared" si="6"/>
        <v/>
      </c>
      <c r="C75" s="1" t="str">
        <f t="shared" si="7"/>
        <v/>
      </c>
      <c r="D75" s="1" t="str">
        <f t="shared" si="8"/>
        <v/>
      </c>
      <c r="J75" s="13">
        <f t="shared" si="4"/>
        <v>0</v>
      </c>
      <c r="K75" s="1" t="s">
        <v>85</v>
      </c>
    </row>
    <row r="76" spans="1:11">
      <c r="A76" s="1" t="str">
        <f t="shared" si="5"/>
        <v/>
      </c>
      <c r="B76" s="1" t="str">
        <f t="shared" si="6"/>
        <v/>
      </c>
      <c r="C76" s="1" t="str">
        <f t="shared" si="7"/>
        <v/>
      </c>
      <c r="D76" s="1" t="str">
        <f t="shared" si="8"/>
        <v/>
      </c>
      <c r="J76" s="13">
        <f t="shared" si="4"/>
        <v>0</v>
      </c>
      <c r="K76" s="1" t="s">
        <v>98</v>
      </c>
    </row>
    <row r="77" spans="1:11">
      <c r="A77" s="1" t="str">
        <f t="shared" si="5"/>
        <v/>
      </c>
      <c r="B77" s="1" t="str">
        <f t="shared" si="6"/>
        <v/>
      </c>
      <c r="C77" s="1" t="str">
        <f t="shared" si="7"/>
        <v/>
      </c>
      <c r="D77" s="1" t="str">
        <f t="shared" si="8"/>
        <v/>
      </c>
      <c r="J77" s="13">
        <f t="shared" si="4"/>
        <v>0</v>
      </c>
      <c r="K77" s="1" t="s">
        <v>98</v>
      </c>
    </row>
    <row r="78" spans="1:11">
      <c r="A78" s="1" t="str">
        <f t="shared" si="5"/>
        <v/>
      </c>
      <c r="B78" s="1" t="str">
        <f t="shared" si="6"/>
        <v/>
      </c>
      <c r="C78" s="1" t="str">
        <f t="shared" si="7"/>
        <v/>
      </c>
      <c r="D78" s="1" t="str">
        <f t="shared" si="8"/>
        <v/>
      </c>
      <c r="J78" s="13">
        <f t="shared" si="4"/>
        <v>0</v>
      </c>
      <c r="K78" s="1" t="s">
        <v>24</v>
      </c>
    </row>
    <row r="79" spans="1:11">
      <c r="J79" s="13">
        <f t="shared" si="4"/>
        <v>0</v>
      </c>
      <c r="K79" s="1" t="s">
        <v>85</v>
      </c>
    </row>
    <row r="80" spans="1:11">
      <c r="A80" s="1" t="str">
        <f>IF(AND(NOT(ISBLANK(G78)),ISBLANK(G80)),"Reste prévu","")</f>
        <v/>
      </c>
      <c r="B80" s="1" t="str">
        <f>IF(AND(NOT(ISBLANK($G78)),ISBLANK($G80)),$C$42-$F$40-$F$42,"")</f>
        <v/>
      </c>
      <c r="C80" s="1" t="str">
        <f>IF(AND(NOT(ISBLANK($G78)),ISBLANK($G80)),"Reste réel","")</f>
        <v/>
      </c>
      <c r="D80" s="1" t="str">
        <f>IF(AND(NOT(ISBLANK($G78)),ISBLANK($G80)),$C$42-$H$40-$F$42,"")</f>
        <v/>
      </c>
      <c r="J80" s="13">
        <f t="shared" si="4"/>
        <v>0</v>
      </c>
      <c r="K80" s="1" t="s">
        <v>24</v>
      </c>
    </row>
    <row r="81" spans="1:11">
      <c r="A81" s="1" t="str">
        <f t="shared" ref="A81:A237" si="9">IF(AND(NOT(ISBLANK(G80)),ISBLANK(G81)),"Reste prévu","")</f>
        <v/>
      </c>
      <c r="B81" s="1" t="str">
        <f t="shared" ref="B81:B237" si="10">IF(AND(NOT(ISBLANK($G80)),ISBLANK($G81)),$C$42-$F$40-$F$42,"")</f>
        <v/>
      </c>
      <c r="C81" s="1" t="str">
        <f t="shared" ref="C81:C237" si="11">IF(AND(NOT(ISBLANK($G80)),ISBLANK($G81)),"Reste réel","")</f>
        <v/>
      </c>
      <c r="D81" s="1" t="str">
        <f t="shared" ref="D81:D237" si="12">IF(AND(NOT(ISBLANK($G80)),ISBLANK($G81)),$C$42-$H$40-$F$42,"")</f>
        <v/>
      </c>
      <c r="J81" s="13">
        <f t="shared" si="4"/>
        <v>0</v>
      </c>
      <c r="K81" s="1" t="s">
        <v>24</v>
      </c>
    </row>
    <row r="82" spans="1:11">
      <c r="A82" s="1" t="str">
        <f t="shared" si="9"/>
        <v/>
      </c>
      <c r="B82" s="1" t="str">
        <f t="shared" si="10"/>
        <v/>
      </c>
      <c r="C82" s="1" t="str">
        <f t="shared" si="11"/>
        <v/>
      </c>
      <c r="D82" s="1" t="str">
        <f t="shared" si="12"/>
        <v/>
      </c>
      <c r="J82" s="13">
        <f t="shared" si="4"/>
        <v>0</v>
      </c>
      <c r="K82" s="1" t="s">
        <v>24</v>
      </c>
    </row>
    <row r="83" spans="1:11">
      <c r="A83" s="1" t="str">
        <f t="shared" si="9"/>
        <v/>
      </c>
      <c r="B83" s="1" t="str">
        <f t="shared" si="10"/>
        <v/>
      </c>
      <c r="C83" s="1" t="str">
        <f t="shared" si="11"/>
        <v/>
      </c>
      <c r="D83" s="1" t="str">
        <f t="shared" si="12"/>
        <v/>
      </c>
      <c r="J83" s="13">
        <f t="shared" si="4"/>
        <v>0</v>
      </c>
      <c r="K83" s="1" t="s">
        <v>59</v>
      </c>
    </row>
    <row r="84" spans="1:11">
      <c r="A84" s="1" t="str">
        <f t="shared" si="9"/>
        <v/>
      </c>
      <c r="B84" s="1" t="str">
        <f t="shared" si="10"/>
        <v/>
      </c>
      <c r="C84" s="1" t="str">
        <f t="shared" si="11"/>
        <v/>
      </c>
      <c r="D84" s="1" t="str">
        <f t="shared" si="12"/>
        <v/>
      </c>
      <c r="J84" s="13">
        <f t="shared" si="4"/>
        <v>0</v>
      </c>
      <c r="K84" s="1" t="s">
        <v>24</v>
      </c>
    </row>
    <row r="85" spans="1:11">
      <c r="A85" s="1" t="str">
        <f t="shared" si="9"/>
        <v/>
      </c>
      <c r="B85" s="1" t="str">
        <f t="shared" si="10"/>
        <v/>
      </c>
      <c r="C85" s="1" t="str">
        <f t="shared" si="11"/>
        <v/>
      </c>
      <c r="D85" s="1" t="str">
        <f t="shared" si="12"/>
        <v/>
      </c>
      <c r="J85" s="13">
        <f t="shared" si="4"/>
        <v>0</v>
      </c>
      <c r="K85" s="1" t="s">
        <v>24</v>
      </c>
    </row>
    <row r="86" spans="1:11">
      <c r="A86" s="1" t="str">
        <f t="shared" si="9"/>
        <v/>
      </c>
      <c r="B86" s="1" t="str">
        <f t="shared" si="10"/>
        <v/>
      </c>
      <c r="C86" s="1" t="str">
        <f t="shared" si="11"/>
        <v/>
      </c>
      <c r="D86" s="1" t="str">
        <f t="shared" si="12"/>
        <v/>
      </c>
      <c r="J86" s="13">
        <f t="shared" si="4"/>
        <v>0</v>
      </c>
      <c r="K86" s="1" t="s">
        <v>24</v>
      </c>
    </row>
    <row r="87" spans="1:11">
      <c r="A87" s="1" t="str">
        <f t="shared" si="9"/>
        <v/>
      </c>
      <c r="B87" s="1" t="str">
        <f t="shared" si="10"/>
        <v/>
      </c>
      <c r="C87" s="1" t="str">
        <f t="shared" si="11"/>
        <v/>
      </c>
      <c r="D87" s="1" t="str">
        <f t="shared" si="12"/>
        <v/>
      </c>
      <c r="G87" s="14"/>
      <c r="J87" s="13">
        <f t="shared" si="4"/>
        <v>0</v>
      </c>
      <c r="K87" s="1" t="s">
        <v>85</v>
      </c>
    </row>
    <row r="88" spans="1:11">
      <c r="A88" s="1" t="str">
        <f t="shared" si="9"/>
        <v/>
      </c>
      <c r="B88" s="1" t="str">
        <f t="shared" si="10"/>
        <v/>
      </c>
      <c r="C88" s="1" t="str">
        <f t="shared" si="11"/>
        <v/>
      </c>
      <c r="D88" s="1" t="str">
        <f t="shared" si="12"/>
        <v/>
      </c>
      <c r="J88" s="13">
        <f t="shared" si="4"/>
        <v>0</v>
      </c>
      <c r="K88" s="1" t="s">
        <v>98</v>
      </c>
    </row>
    <row r="89" spans="1:11">
      <c r="A89" s="1" t="str">
        <f t="shared" si="9"/>
        <v/>
      </c>
      <c r="B89" s="1" t="str">
        <f t="shared" si="10"/>
        <v/>
      </c>
      <c r="C89" s="1" t="str">
        <f t="shared" si="11"/>
        <v/>
      </c>
      <c r="D89" s="1" t="str">
        <f t="shared" si="12"/>
        <v/>
      </c>
      <c r="J89" s="13">
        <f t="shared" si="4"/>
        <v>0</v>
      </c>
      <c r="K89" s="1" t="s">
        <v>24</v>
      </c>
    </row>
    <row r="90" spans="1:11">
      <c r="A90" s="1" t="str">
        <f t="shared" si="9"/>
        <v/>
      </c>
      <c r="B90" s="1" t="str">
        <f t="shared" si="10"/>
        <v/>
      </c>
      <c r="C90" s="1" t="str">
        <f t="shared" si="11"/>
        <v/>
      </c>
      <c r="D90" s="1" t="str">
        <f t="shared" si="12"/>
        <v/>
      </c>
      <c r="J90" s="13">
        <f t="shared" si="4"/>
        <v>0</v>
      </c>
      <c r="K90" s="1" t="s">
        <v>24</v>
      </c>
    </row>
    <row r="91" spans="1:11">
      <c r="A91" s="1" t="str">
        <f t="shared" si="9"/>
        <v/>
      </c>
      <c r="B91" s="1" t="str">
        <f t="shared" si="10"/>
        <v/>
      </c>
      <c r="C91" s="1" t="str">
        <f t="shared" si="11"/>
        <v/>
      </c>
      <c r="D91" s="1" t="str">
        <f t="shared" si="12"/>
        <v/>
      </c>
      <c r="J91" s="13">
        <f t="shared" si="4"/>
        <v>0</v>
      </c>
      <c r="K91" s="1" t="s">
        <v>24</v>
      </c>
    </row>
    <row r="92" spans="1:11">
      <c r="A92" s="1" t="str">
        <f t="shared" si="9"/>
        <v/>
      </c>
      <c r="B92" s="1" t="str">
        <f t="shared" si="10"/>
        <v/>
      </c>
      <c r="C92" s="1" t="str">
        <f t="shared" si="11"/>
        <v/>
      </c>
      <c r="D92" s="1" t="str">
        <f t="shared" si="12"/>
        <v/>
      </c>
      <c r="J92" s="13">
        <f t="shared" si="4"/>
        <v>0</v>
      </c>
      <c r="K92" s="1" t="s">
        <v>64</v>
      </c>
    </row>
    <row r="93" spans="1:11">
      <c r="A93" s="1" t="str">
        <f t="shared" si="9"/>
        <v/>
      </c>
      <c r="B93" s="1" t="str">
        <f t="shared" si="10"/>
        <v/>
      </c>
      <c r="C93" s="1" t="str">
        <f t="shared" si="11"/>
        <v/>
      </c>
      <c r="D93" s="1" t="str">
        <f t="shared" si="12"/>
        <v/>
      </c>
      <c r="J93" s="13">
        <f t="shared" si="4"/>
        <v>0</v>
      </c>
      <c r="K93" s="1" t="s">
        <v>64</v>
      </c>
    </row>
    <row r="94" spans="1:11">
      <c r="A94" s="1" t="str">
        <f t="shared" si="9"/>
        <v/>
      </c>
      <c r="B94" s="1" t="str">
        <f t="shared" si="10"/>
        <v/>
      </c>
      <c r="C94" s="1" t="str">
        <f t="shared" si="11"/>
        <v/>
      </c>
      <c r="D94" s="1" t="str">
        <f t="shared" si="12"/>
        <v/>
      </c>
      <c r="J94" s="13">
        <f t="shared" si="4"/>
        <v>0</v>
      </c>
      <c r="K94" s="1" t="s">
        <v>59</v>
      </c>
    </row>
    <row r="95" spans="1:11">
      <c r="A95" s="1" t="str">
        <f t="shared" si="9"/>
        <v/>
      </c>
      <c r="B95" s="1" t="str">
        <f t="shared" si="10"/>
        <v/>
      </c>
      <c r="C95" s="1" t="str">
        <f t="shared" si="11"/>
        <v/>
      </c>
      <c r="D95" s="1" t="str">
        <f t="shared" si="12"/>
        <v/>
      </c>
      <c r="J95" s="13">
        <f t="shared" si="4"/>
        <v>0</v>
      </c>
      <c r="K95" s="1" t="s">
        <v>24</v>
      </c>
    </row>
    <row r="96" spans="1:11">
      <c r="A96" s="1" t="str">
        <f t="shared" si="9"/>
        <v/>
      </c>
      <c r="B96" s="1" t="str">
        <f t="shared" si="10"/>
        <v/>
      </c>
      <c r="C96" s="1" t="str">
        <f t="shared" si="11"/>
        <v/>
      </c>
      <c r="D96" s="1" t="str">
        <f t="shared" si="12"/>
        <v/>
      </c>
      <c r="J96" s="13">
        <f t="shared" si="4"/>
        <v>0</v>
      </c>
      <c r="K96" s="1" t="s">
        <v>24</v>
      </c>
    </row>
    <row r="97" spans="1:11">
      <c r="A97" s="1" t="str">
        <f t="shared" si="9"/>
        <v/>
      </c>
      <c r="B97" s="1" t="str">
        <f t="shared" si="10"/>
        <v/>
      </c>
      <c r="C97" s="1" t="str">
        <f t="shared" si="11"/>
        <v/>
      </c>
      <c r="D97" s="1" t="str">
        <f t="shared" si="12"/>
        <v/>
      </c>
      <c r="J97" s="13">
        <f t="shared" si="4"/>
        <v>0</v>
      </c>
      <c r="K97" s="1" t="s">
        <v>24</v>
      </c>
    </row>
    <row r="98" spans="1:11">
      <c r="A98" s="1" t="str">
        <f t="shared" si="9"/>
        <v/>
      </c>
      <c r="B98" s="1" t="str">
        <f t="shared" si="10"/>
        <v/>
      </c>
      <c r="C98" s="1" t="str">
        <f t="shared" si="11"/>
        <v/>
      </c>
      <c r="D98" s="1" t="str">
        <f t="shared" si="12"/>
        <v/>
      </c>
      <c r="J98" s="13">
        <f t="shared" si="4"/>
        <v>0</v>
      </c>
      <c r="K98" s="1" t="s">
        <v>24</v>
      </c>
    </row>
    <row r="99" spans="1:11">
      <c r="A99" s="1" t="str">
        <f t="shared" si="9"/>
        <v/>
      </c>
      <c r="B99" s="1" t="str">
        <f t="shared" si="10"/>
        <v/>
      </c>
      <c r="C99" s="1" t="str">
        <f t="shared" si="11"/>
        <v/>
      </c>
      <c r="D99" s="1" t="str">
        <f t="shared" si="12"/>
        <v/>
      </c>
      <c r="J99" s="13">
        <f t="shared" si="4"/>
        <v>0</v>
      </c>
      <c r="K99" s="1" t="s">
        <v>26</v>
      </c>
    </row>
    <row r="100" spans="1:11">
      <c r="A100" s="1" t="str">
        <f t="shared" si="9"/>
        <v/>
      </c>
      <c r="B100" s="1" t="str">
        <f t="shared" si="10"/>
        <v/>
      </c>
      <c r="C100" s="1" t="str">
        <f t="shared" si="11"/>
        <v/>
      </c>
      <c r="D100" s="1" t="str">
        <f t="shared" si="12"/>
        <v/>
      </c>
      <c r="J100" s="13">
        <f t="shared" si="4"/>
        <v>0</v>
      </c>
      <c r="K100" s="1" t="s">
        <v>24</v>
      </c>
    </row>
    <row r="101" spans="1:11">
      <c r="A101" s="1" t="str">
        <f t="shared" si="9"/>
        <v/>
      </c>
      <c r="B101" s="1" t="str">
        <f t="shared" si="10"/>
        <v/>
      </c>
      <c r="C101" s="1" t="str">
        <f t="shared" si="11"/>
        <v/>
      </c>
      <c r="D101" s="1" t="str">
        <f t="shared" si="12"/>
        <v/>
      </c>
      <c r="J101" s="13">
        <f t="shared" si="4"/>
        <v>0</v>
      </c>
      <c r="K101" s="1" t="s">
        <v>24</v>
      </c>
    </row>
    <row r="102" spans="1:11">
      <c r="A102" s="1" t="str">
        <f t="shared" si="9"/>
        <v/>
      </c>
      <c r="B102" s="1" t="str">
        <f t="shared" si="10"/>
        <v/>
      </c>
      <c r="C102" s="1" t="str">
        <f t="shared" si="11"/>
        <v/>
      </c>
      <c r="D102" s="1" t="str">
        <f t="shared" si="12"/>
        <v/>
      </c>
      <c r="J102" s="13">
        <f t="shared" si="4"/>
        <v>0</v>
      </c>
      <c r="K102" s="1" t="s">
        <v>26</v>
      </c>
    </row>
    <row r="103" spans="1:11">
      <c r="A103" s="1" t="str">
        <f t="shared" si="9"/>
        <v/>
      </c>
      <c r="B103" s="1" t="str">
        <f t="shared" si="10"/>
        <v/>
      </c>
      <c r="C103" s="1" t="str">
        <f t="shared" si="11"/>
        <v/>
      </c>
      <c r="D103" s="1" t="str">
        <f t="shared" si="12"/>
        <v/>
      </c>
      <c r="J103" s="13">
        <f t="shared" si="4"/>
        <v>0</v>
      </c>
      <c r="K103" s="1" t="s">
        <v>59</v>
      </c>
    </row>
    <row r="104" spans="1:11">
      <c r="A104" s="1" t="str">
        <f t="shared" si="9"/>
        <v/>
      </c>
      <c r="B104" s="1" t="str">
        <f t="shared" si="10"/>
        <v/>
      </c>
      <c r="C104" s="1" t="str">
        <f t="shared" si="11"/>
        <v/>
      </c>
      <c r="D104" s="1" t="str">
        <f t="shared" si="12"/>
        <v/>
      </c>
      <c r="J104" s="13">
        <f t="shared" si="4"/>
        <v>0</v>
      </c>
      <c r="K104" s="1" t="s">
        <v>83</v>
      </c>
    </row>
    <row r="105" spans="1:11">
      <c r="A105" s="1" t="str">
        <f t="shared" si="9"/>
        <v/>
      </c>
      <c r="B105" s="1" t="str">
        <f t="shared" si="10"/>
        <v/>
      </c>
      <c r="C105" s="1" t="str">
        <f t="shared" si="11"/>
        <v/>
      </c>
      <c r="D105" s="1" t="str">
        <f t="shared" si="12"/>
        <v/>
      </c>
      <c r="J105" s="13">
        <f t="shared" si="4"/>
        <v>0</v>
      </c>
      <c r="K105" s="1" t="s">
        <v>89</v>
      </c>
    </row>
    <row r="106" spans="1:11">
      <c r="A106" s="1" t="str">
        <f t="shared" si="9"/>
        <v/>
      </c>
      <c r="B106" s="1" t="str">
        <f t="shared" si="10"/>
        <v/>
      </c>
      <c r="C106" s="1" t="str">
        <f t="shared" si="11"/>
        <v/>
      </c>
      <c r="D106" s="1" t="str">
        <f t="shared" si="12"/>
        <v/>
      </c>
      <c r="J106" s="13">
        <f t="shared" si="4"/>
        <v>0</v>
      </c>
      <c r="K106" s="1" t="s">
        <v>24</v>
      </c>
    </row>
    <row r="107" spans="1:11">
      <c r="A107" s="1" t="str">
        <f t="shared" si="9"/>
        <v/>
      </c>
      <c r="B107" s="1" t="str">
        <f t="shared" si="10"/>
        <v/>
      </c>
      <c r="C107" s="1" t="str">
        <f t="shared" si="11"/>
        <v/>
      </c>
      <c r="D107" s="1" t="str">
        <f t="shared" si="12"/>
        <v/>
      </c>
      <c r="J107" s="13">
        <f t="shared" si="4"/>
        <v>0</v>
      </c>
      <c r="K107" s="1" t="s">
        <v>24</v>
      </c>
    </row>
    <row r="108" spans="1:11">
      <c r="A108" s="1" t="str">
        <f t="shared" si="9"/>
        <v/>
      </c>
      <c r="B108" s="1" t="str">
        <f t="shared" si="10"/>
        <v/>
      </c>
      <c r="C108" s="1" t="str">
        <f t="shared" si="11"/>
        <v/>
      </c>
      <c r="D108" s="1" t="str">
        <f t="shared" si="12"/>
        <v/>
      </c>
      <c r="J108" s="13">
        <f t="shared" si="4"/>
        <v>0</v>
      </c>
      <c r="K108" s="1" t="s">
        <v>24</v>
      </c>
    </row>
    <row r="109" spans="1:11">
      <c r="A109" s="1" t="str">
        <f t="shared" si="9"/>
        <v/>
      </c>
      <c r="B109" s="1" t="str">
        <f t="shared" si="10"/>
        <v/>
      </c>
      <c r="C109" s="1" t="str">
        <f t="shared" si="11"/>
        <v/>
      </c>
      <c r="D109" s="1" t="str">
        <f t="shared" si="12"/>
        <v/>
      </c>
      <c r="J109" s="13">
        <f t="shared" si="4"/>
        <v>0</v>
      </c>
      <c r="K109" s="1" t="s">
        <v>89</v>
      </c>
    </row>
    <row r="110" spans="1:11">
      <c r="A110" s="1" t="str">
        <f t="shared" si="9"/>
        <v/>
      </c>
      <c r="B110" s="1" t="str">
        <f t="shared" si="10"/>
        <v/>
      </c>
      <c r="C110" s="1" t="str">
        <f t="shared" si="11"/>
        <v/>
      </c>
      <c r="D110" s="1" t="str">
        <f t="shared" si="12"/>
        <v/>
      </c>
      <c r="J110" s="13">
        <f t="shared" si="4"/>
        <v>0</v>
      </c>
      <c r="K110" s="1" t="s">
        <v>89</v>
      </c>
    </row>
    <row r="111" spans="1:11">
      <c r="A111" s="1" t="str">
        <f t="shared" si="9"/>
        <v/>
      </c>
      <c r="B111" s="1" t="str">
        <f t="shared" si="10"/>
        <v/>
      </c>
      <c r="C111" s="1" t="str">
        <f t="shared" si="11"/>
        <v/>
      </c>
      <c r="D111" s="1" t="str">
        <f t="shared" si="12"/>
        <v/>
      </c>
      <c r="J111" s="13">
        <f t="shared" si="4"/>
        <v>0</v>
      </c>
      <c r="K111" s="1" t="s">
        <v>24</v>
      </c>
    </row>
    <row r="112" spans="1:11">
      <c r="A112" s="1" t="str">
        <f t="shared" si="9"/>
        <v/>
      </c>
      <c r="B112" s="1" t="str">
        <f t="shared" si="10"/>
        <v/>
      </c>
      <c r="C112" s="1" t="str">
        <f t="shared" si="11"/>
        <v/>
      </c>
      <c r="D112" s="1" t="str">
        <f t="shared" si="12"/>
        <v/>
      </c>
      <c r="J112" s="13">
        <f t="shared" si="4"/>
        <v>0</v>
      </c>
      <c r="K112" s="1" t="s">
        <v>98</v>
      </c>
    </row>
    <row r="113" spans="1:11">
      <c r="A113" s="1" t="str">
        <f t="shared" si="9"/>
        <v/>
      </c>
      <c r="B113" s="1" t="str">
        <f t="shared" si="10"/>
        <v/>
      </c>
      <c r="C113" s="1" t="str">
        <f t="shared" si="11"/>
        <v/>
      </c>
      <c r="D113" s="1" t="str">
        <f t="shared" si="12"/>
        <v/>
      </c>
      <c r="J113" s="13">
        <f t="shared" si="4"/>
        <v>0</v>
      </c>
      <c r="K113" s="1" t="s">
        <v>59</v>
      </c>
    </row>
    <row r="114" spans="1:11">
      <c r="A114" s="1" t="str">
        <f t="shared" si="9"/>
        <v/>
      </c>
      <c r="B114" s="1" t="str">
        <f t="shared" si="10"/>
        <v/>
      </c>
      <c r="C114" s="1" t="str">
        <f t="shared" si="11"/>
        <v/>
      </c>
      <c r="D114" s="1" t="str">
        <f t="shared" si="12"/>
        <v/>
      </c>
      <c r="J114" s="13">
        <f t="shared" si="4"/>
        <v>0</v>
      </c>
      <c r="K114" s="1" t="s">
        <v>55</v>
      </c>
    </row>
    <row r="115" spans="1:11">
      <c r="A115" s="1" t="str">
        <f t="shared" si="9"/>
        <v/>
      </c>
      <c r="B115" s="1" t="str">
        <f t="shared" si="10"/>
        <v/>
      </c>
      <c r="C115" s="1" t="str">
        <f t="shared" si="11"/>
        <v/>
      </c>
      <c r="D115" s="1" t="str">
        <f t="shared" si="12"/>
        <v/>
      </c>
      <c r="J115" s="13">
        <f t="shared" si="4"/>
        <v>0</v>
      </c>
      <c r="K115" s="1" t="s">
        <v>55</v>
      </c>
    </row>
    <row r="116" spans="1:11">
      <c r="A116" s="1" t="str">
        <f t="shared" si="9"/>
        <v/>
      </c>
      <c r="B116" s="1" t="str">
        <f t="shared" si="10"/>
        <v/>
      </c>
      <c r="C116" s="1" t="str">
        <f t="shared" si="11"/>
        <v/>
      </c>
      <c r="D116" s="1" t="str">
        <f t="shared" si="12"/>
        <v/>
      </c>
      <c r="J116" s="13">
        <f t="shared" si="4"/>
        <v>0</v>
      </c>
      <c r="K116" s="1" t="s">
        <v>24</v>
      </c>
    </row>
    <row r="117" spans="1:11">
      <c r="A117" s="1" t="str">
        <f t="shared" si="9"/>
        <v/>
      </c>
      <c r="B117" s="1" t="str">
        <f t="shared" si="10"/>
        <v/>
      </c>
      <c r="C117" s="1" t="str">
        <f t="shared" si="11"/>
        <v/>
      </c>
      <c r="D117" s="1" t="str">
        <f t="shared" si="12"/>
        <v/>
      </c>
      <c r="J117" s="13">
        <f t="shared" si="4"/>
        <v>0</v>
      </c>
      <c r="K117" s="1" t="s">
        <v>83</v>
      </c>
    </row>
    <row r="118" spans="1:11">
      <c r="A118" s="1" t="str">
        <f t="shared" si="9"/>
        <v/>
      </c>
      <c r="B118" s="1" t="str">
        <f t="shared" si="10"/>
        <v/>
      </c>
      <c r="C118" s="1" t="str">
        <f t="shared" si="11"/>
        <v/>
      </c>
      <c r="D118" s="1" t="str">
        <f t="shared" si="12"/>
        <v/>
      </c>
      <c r="J118" s="13">
        <f t="shared" si="4"/>
        <v>0</v>
      </c>
      <c r="K118" s="1" t="s">
        <v>98</v>
      </c>
    </row>
    <row r="119" spans="1:11">
      <c r="A119" s="1" t="str">
        <f t="shared" si="9"/>
        <v/>
      </c>
      <c r="B119" s="1" t="str">
        <f t="shared" si="10"/>
        <v/>
      </c>
      <c r="C119" s="1" t="str">
        <f t="shared" si="11"/>
        <v/>
      </c>
      <c r="D119" s="1" t="str">
        <f t="shared" si="12"/>
        <v/>
      </c>
      <c r="J119" s="13">
        <f t="shared" si="4"/>
        <v>0</v>
      </c>
      <c r="K119" s="1" t="s">
        <v>59</v>
      </c>
    </row>
    <row r="120" spans="1:11">
      <c r="A120" s="1" t="str">
        <f t="shared" si="9"/>
        <v/>
      </c>
      <c r="B120" s="1" t="str">
        <f t="shared" si="10"/>
        <v/>
      </c>
      <c r="C120" s="1" t="str">
        <f t="shared" si="11"/>
        <v/>
      </c>
      <c r="D120" s="1" t="str">
        <f t="shared" si="12"/>
        <v/>
      </c>
      <c r="J120" s="13">
        <f t="shared" si="4"/>
        <v>0</v>
      </c>
      <c r="K120" s="1" t="s">
        <v>59</v>
      </c>
    </row>
    <row r="121" spans="1:11">
      <c r="A121" s="1" t="str">
        <f t="shared" si="9"/>
        <v/>
      </c>
      <c r="B121" s="1" t="str">
        <f t="shared" si="10"/>
        <v/>
      </c>
      <c r="C121" s="1" t="str">
        <f t="shared" si="11"/>
        <v/>
      </c>
      <c r="D121" s="1" t="str">
        <f t="shared" si="12"/>
        <v/>
      </c>
      <c r="J121" s="13">
        <f t="shared" si="4"/>
        <v>0</v>
      </c>
      <c r="K121" s="1" t="s">
        <v>59</v>
      </c>
    </row>
    <row r="122" spans="1:11">
      <c r="A122" s="1" t="str">
        <f t="shared" si="9"/>
        <v/>
      </c>
      <c r="B122" s="1" t="str">
        <f t="shared" si="10"/>
        <v/>
      </c>
      <c r="C122" s="1" t="str">
        <f t="shared" si="11"/>
        <v/>
      </c>
      <c r="D122" s="1" t="str">
        <f t="shared" si="12"/>
        <v/>
      </c>
      <c r="J122" s="13">
        <f t="shared" si="4"/>
        <v>0</v>
      </c>
      <c r="K122" s="1" t="s">
        <v>59</v>
      </c>
    </row>
    <row r="123" spans="1:11">
      <c r="A123" s="1" t="str">
        <f t="shared" si="9"/>
        <v/>
      </c>
      <c r="B123" s="1" t="str">
        <f t="shared" si="10"/>
        <v/>
      </c>
      <c r="C123" s="1" t="str">
        <f t="shared" si="11"/>
        <v/>
      </c>
      <c r="D123" s="1" t="str">
        <f t="shared" si="12"/>
        <v/>
      </c>
      <c r="J123" s="13">
        <f t="shared" si="4"/>
        <v>0</v>
      </c>
      <c r="K123" s="1" t="s">
        <v>24</v>
      </c>
    </row>
    <row r="124" spans="1:11">
      <c r="A124" s="1" t="str">
        <f t="shared" si="9"/>
        <v/>
      </c>
      <c r="B124" s="1" t="str">
        <f t="shared" si="10"/>
        <v/>
      </c>
      <c r="C124" s="1" t="str">
        <f t="shared" si="11"/>
        <v/>
      </c>
      <c r="D124" s="1" t="str">
        <f t="shared" si="12"/>
        <v/>
      </c>
      <c r="J124" s="13">
        <f t="shared" si="4"/>
        <v>0</v>
      </c>
      <c r="K124" s="1" t="s">
        <v>89</v>
      </c>
    </row>
    <row r="125" spans="1:11">
      <c r="A125" s="1" t="str">
        <f t="shared" si="9"/>
        <v/>
      </c>
      <c r="B125" s="1" t="str">
        <f t="shared" si="10"/>
        <v/>
      </c>
      <c r="C125" s="1" t="str">
        <f t="shared" si="11"/>
        <v/>
      </c>
      <c r="D125" s="1" t="str">
        <f t="shared" si="12"/>
        <v/>
      </c>
      <c r="J125" s="13">
        <f t="shared" si="4"/>
        <v>0</v>
      </c>
      <c r="K125" s="1" t="s">
        <v>89</v>
      </c>
    </row>
    <row r="126" spans="1:11">
      <c r="A126" s="1" t="str">
        <f t="shared" si="9"/>
        <v/>
      </c>
      <c r="B126" s="1" t="str">
        <f t="shared" si="10"/>
        <v/>
      </c>
      <c r="C126" s="1" t="str">
        <f t="shared" si="11"/>
        <v/>
      </c>
      <c r="D126" s="1" t="str">
        <f t="shared" si="12"/>
        <v/>
      </c>
      <c r="J126" s="13">
        <f t="shared" si="4"/>
        <v>0</v>
      </c>
      <c r="K126" s="1" t="s">
        <v>24</v>
      </c>
    </row>
    <row r="127" spans="1:11">
      <c r="A127" s="1" t="str">
        <f t="shared" si="9"/>
        <v/>
      </c>
      <c r="B127" s="1" t="str">
        <f t="shared" si="10"/>
        <v/>
      </c>
      <c r="C127" s="1" t="str">
        <f t="shared" si="11"/>
        <v/>
      </c>
      <c r="D127" s="1" t="str">
        <f t="shared" si="12"/>
        <v/>
      </c>
      <c r="J127" s="13">
        <f t="shared" si="4"/>
        <v>0</v>
      </c>
      <c r="K127" s="1" t="s">
        <v>98</v>
      </c>
    </row>
    <row r="128" spans="1:11">
      <c r="A128" s="1" t="str">
        <f t="shared" si="9"/>
        <v/>
      </c>
      <c r="B128" s="1" t="str">
        <f t="shared" si="10"/>
        <v/>
      </c>
      <c r="C128" s="1" t="str">
        <f t="shared" si="11"/>
        <v/>
      </c>
      <c r="D128" s="1" t="str">
        <f t="shared" si="12"/>
        <v/>
      </c>
      <c r="J128" s="13">
        <f t="shared" si="4"/>
        <v>0</v>
      </c>
      <c r="K128" s="1" t="s">
        <v>24</v>
      </c>
    </row>
    <row r="129" spans="1:11">
      <c r="A129" s="1" t="str">
        <f t="shared" si="9"/>
        <v/>
      </c>
      <c r="B129" s="1" t="str">
        <f t="shared" si="10"/>
        <v/>
      </c>
      <c r="C129" s="1" t="str">
        <f t="shared" si="11"/>
        <v/>
      </c>
      <c r="D129" s="1" t="str">
        <f t="shared" si="12"/>
        <v/>
      </c>
      <c r="J129" s="13">
        <f t="shared" si="4"/>
        <v>0</v>
      </c>
      <c r="K129" s="1" t="s">
        <v>24</v>
      </c>
    </row>
    <row r="130" spans="1:11">
      <c r="A130" s="1" t="str">
        <f t="shared" si="9"/>
        <v/>
      </c>
      <c r="B130" s="1" t="str">
        <f t="shared" si="10"/>
        <v/>
      </c>
      <c r="C130" s="1" t="str">
        <f t="shared" si="11"/>
        <v/>
      </c>
      <c r="D130" s="1" t="str">
        <f t="shared" si="12"/>
        <v/>
      </c>
      <c r="J130" s="13">
        <f t="shared" si="4"/>
        <v>0</v>
      </c>
      <c r="K130" s="1" t="s">
        <v>24</v>
      </c>
    </row>
    <row r="131" spans="1:11">
      <c r="A131" s="1" t="str">
        <f t="shared" si="9"/>
        <v/>
      </c>
      <c r="B131" s="1" t="str">
        <f t="shared" si="10"/>
        <v/>
      </c>
      <c r="C131" s="1" t="str">
        <f t="shared" si="11"/>
        <v/>
      </c>
      <c r="D131" s="1" t="str">
        <f t="shared" si="12"/>
        <v/>
      </c>
      <c r="J131" s="13">
        <f t="shared" si="4"/>
        <v>0</v>
      </c>
      <c r="K131" s="1" t="s">
        <v>59</v>
      </c>
    </row>
    <row r="132" spans="1:11">
      <c r="A132" s="1" t="str">
        <f t="shared" si="9"/>
        <v/>
      </c>
      <c r="B132" s="1" t="str">
        <f t="shared" si="10"/>
        <v/>
      </c>
      <c r="C132" s="1" t="str">
        <f t="shared" si="11"/>
        <v/>
      </c>
      <c r="D132" s="1" t="str">
        <f t="shared" si="12"/>
        <v/>
      </c>
      <c r="J132" s="13">
        <f t="shared" si="4"/>
        <v>0</v>
      </c>
      <c r="K132" s="1" t="s">
        <v>85</v>
      </c>
    </row>
    <row r="133" spans="1:11">
      <c r="A133" s="1" t="str">
        <f t="shared" si="9"/>
        <v/>
      </c>
      <c r="B133" s="1" t="str">
        <f t="shared" si="10"/>
        <v/>
      </c>
      <c r="C133" s="1" t="str">
        <f t="shared" si="11"/>
        <v/>
      </c>
      <c r="D133" s="1" t="str">
        <f t="shared" si="12"/>
        <v/>
      </c>
      <c r="J133" s="13">
        <f t="shared" si="4"/>
        <v>0</v>
      </c>
      <c r="K133" s="1" t="s">
        <v>24</v>
      </c>
    </row>
    <row r="134" spans="1:11">
      <c r="A134" s="1" t="str">
        <f t="shared" si="9"/>
        <v/>
      </c>
      <c r="B134" s="1" t="str">
        <f t="shared" si="10"/>
        <v/>
      </c>
      <c r="C134" s="1" t="str">
        <f t="shared" si="11"/>
        <v/>
      </c>
      <c r="D134" s="1" t="str">
        <f t="shared" si="12"/>
        <v/>
      </c>
      <c r="J134" s="13">
        <f t="shared" si="4"/>
        <v>0</v>
      </c>
      <c r="K134" s="1" t="s">
        <v>98</v>
      </c>
    </row>
    <row r="135" spans="1:11">
      <c r="A135" s="1" t="str">
        <f t="shared" si="9"/>
        <v/>
      </c>
      <c r="B135" s="1" t="str">
        <f t="shared" si="10"/>
        <v/>
      </c>
      <c r="C135" s="1" t="str">
        <f t="shared" si="11"/>
        <v/>
      </c>
      <c r="D135" s="1" t="str">
        <f t="shared" si="12"/>
        <v/>
      </c>
      <c r="J135" s="13">
        <f t="shared" si="4"/>
        <v>0</v>
      </c>
      <c r="K135" s="1" t="s">
        <v>98</v>
      </c>
    </row>
    <row r="136" spans="1:11">
      <c r="A136" s="1" t="str">
        <f t="shared" si="9"/>
        <v/>
      </c>
      <c r="B136" s="1" t="str">
        <f t="shared" si="10"/>
        <v/>
      </c>
      <c r="C136" s="1" t="str">
        <f t="shared" si="11"/>
        <v/>
      </c>
      <c r="D136" s="1" t="str">
        <f t="shared" si="12"/>
        <v/>
      </c>
      <c r="J136" s="13">
        <f t="shared" si="4"/>
        <v>0</v>
      </c>
      <c r="K136" s="1" t="s">
        <v>98</v>
      </c>
    </row>
    <row r="137" spans="1:11">
      <c r="A137" s="1" t="str">
        <f t="shared" si="9"/>
        <v/>
      </c>
      <c r="B137" s="1" t="str">
        <f t="shared" si="10"/>
        <v/>
      </c>
      <c r="C137" s="1" t="str">
        <f t="shared" si="11"/>
        <v/>
      </c>
      <c r="D137" s="1" t="str">
        <f t="shared" si="12"/>
        <v/>
      </c>
      <c r="J137" s="13">
        <f t="shared" si="4"/>
        <v>0</v>
      </c>
      <c r="K137" s="1" t="s">
        <v>98</v>
      </c>
    </row>
    <row r="138" spans="1:11">
      <c r="A138" s="1" t="str">
        <f t="shared" si="9"/>
        <v/>
      </c>
      <c r="B138" s="1" t="str">
        <f t="shared" si="10"/>
        <v/>
      </c>
      <c r="C138" s="1" t="str">
        <f t="shared" si="11"/>
        <v/>
      </c>
      <c r="D138" s="1" t="str">
        <f t="shared" si="12"/>
        <v/>
      </c>
      <c r="J138" s="13">
        <f t="shared" si="4"/>
        <v>0</v>
      </c>
      <c r="K138" s="1" t="s">
        <v>83</v>
      </c>
    </row>
    <row r="139" spans="1:11">
      <c r="A139" s="1" t="str">
        <f t="shared" si="9"/>
        <v/>
      </c>
      <c r="B139" s="1" t="str">
        <f t="shared" si="10"/>
        <v/>
      </c>
      <c r="C139" s="1" t="str">
        <f t="shared" si="11"/>
        <v/>
      </c>
      <c r="D139" s="1" t="str">
        <f t="shared" si="12"/>
        <v/>
      </c>
      <c r="J139" s="13">
        <f t="shared" si="4"/>
        <v>0</v>
      </c>
      <c r="K139" s="1" t="s">
        <v>89</v>
      </c>
    </row>
    <row r="140" spans="1:11">
      <c r="A140" s="1" t="str">
        <f t="shared" si="9"/>
        <v/>
      </c>
      <c r="B140" s="1" t="str">
        <f t="shared" si="10"/>
        <v/>
      </c>
      <c r="C140" s="1" t="str">
        <f t="shared" si="11"/>
        <v/>
      </c>
      <c r="D140" s="1" t="str">
        <f t="shared" si="12"/>
        <v/>
      </c>
      <c r="J140" s="13">
        <f t="shared" si="4"/>
        <v>0</v>
      </c>
      <c r="K140" s="1" t="s">
        <v>59</v>
      </c>
    </row>
    <row r="141" spans="1:11">
      <c r="A141" s="1" t="str">
        <f t="shared" si="9"/>
        <v/>
      </c>
      <c r="B141" s="1" t="str">
        <f t="shared" si="10"/>
        <v/>
      </c>
      <c r="C141" s="1" t="str">
        <f t="shared" si="11"/>
        <v/>
      </c>
      <c r="D141" s="1" t="str">
        <f t="shared" si="12"/>
        <v/>
      </c>
      <c r="J141" s="13">
        <f t="shared" si="4"/>
        <v>0</v>
      </c>
      <c r="K141" s="1" t="s">
        <v>83</v>
      </c>
    </row>
    <row r="142" spans="1:11">
      <c r="A142" s="1" t="str">
        <f t="shared" si="9"/>
        <v/>
      </c>
      <c r="B142" s="1" t="str">
        <f t="shared" si="10"/>
        <v/>
      </c>
      <c r="C142" s="1" t="str">
        <f t="shared" si="11"/>
        <v/>
      </c>
      <c r="D142" s="1" t="str">
        <f t="shared" si="12"/>
        <v/>
      </c>
      <c r="J142" s="13">
        <f t="shared" si="4"/>
        <v>0</v>
      </c>
      <c r="K142" s="1" t="s">
        <v>24</v>
      </c>
    </row>
    <row r="143" spans="1:11">
      <c r="A143" s="1" t="str">
        <f t="shared" si="9"/>
        <v/>
      </c>
      <c r="B143" s="1" t="str">
        <f t="shared" si="10"/>
        <v/>
      </c>
      <c r="C143" s="1" t="str">
        <f t="shared" si="11"/>
        <v/>
      </c>
      <c r="D143" s="1" t="str">
        <f t="shared" si="12"/>
        <v/>
      </c>
      <c r="J143" s="13">
        <f t="shared" si="4"/>
        <v>0</v>
      </c>
      <c r="K143" s="1" t="s">
        <v>89</v>
      </c>
    </row>
    <row r="144" spans="1:11">
      <c r="A144" s="1" t="str">
        <f t="shared" si="9"/>
        <v/>
      </c>
      <c r="B144" s="1" t="str">
        <f t="shared" si="10"/>
        <v/>
      </c>
      <c r="C144" s="1" t="str">
        <f t="shared" si="11"/>
        <v/>
      </c>
      <c r="D144" s="1" t="str">
        <f t="shared" si="12"/>
        <v/>
      </c>
      <c r="J144" s="13">
        <f t="shared" si="4"/>
        <v>0</v>
      </c>
      <c r="K144" s="1" t="s">
        <v>89</v>
      </c>
    </row>
    <row r="145" spans="1:11">
      <c r="A145" s="1" t="str">
        <f t="shared" si="9"/>
        <v/>
      </c>
      <c r="B145" s="1" t="str">
        <f t="shared" si="10"/>
        <v/>
      </c>
      <c r="C145" s="1" t="str">
        <f t="shared" si="11"/>
        <v/>
      </c>
      <c r="D145" s="1" t="str">
        <f t="shared" si="12"/>
        <v/>
      </c>
      <c r="J145" s="13">
        <f t="shared" si="4"/>
        <v>0</v>
      </c>
      <c r="K145" s="1" t="s">
        <v>89</v>
      </c>
    </row>
    <row r="146" spans="1:11">
      <c r="A146" s="1" t="str">
        <f t="shared" si="9"/>
        <v/>
      </c>
      <c r="B146" s="1" t="str">
        <f t="shared" si="10"/>
        <v/>
      </c>
      <c r="C146" s="1" t="str">
        <f t="shared" si="11"/>
        <v/>
      </c>
      <c r="D146" s="1" t="str">
        <f t="shared" si="12"/>
        <v/>
      </c>
      <c r="J146" s="13">
        <f t="shared" si="4"/>
        <v>0</v>
      </c>
      <c r="K146" s="1" t="s">
        <v>83</v>
      </c>
    </row>
    <row r="147" spans="1:11">
      <c r="A147" s="1" t="str">
        <f t="shared" si="9"/>
        <v/>
      </c>
      <c r="B147" s="1" t="str">
        <f t="shared" si="10"/>
        <v/>
      </c>
      <c r="C147" s="1" t="str">
        <f t="shared" si="11"/>
        <v/>
      </c>
      <c r="D147" s="1" t="str">
        <f t="shared" si="12"/>
        <v/>
      </c>
      <c r="J147" s="13">
        <f t="shared" si="4"/>
        <v>0</v>
      </c>
      <c r="K147" s="1" t="s">
        <v>24</v>
      </c>
    </row>
    <row r="148" spans="1:11">
      <c r="A148" s="1" t="str">
        <f t="shared" si="9"/>
        <v/>
      </c>
      <c r="B148" s="1" t="str">
        <f t="shared" si="10"/>
        <v/>
      </c>
      <c r="C148" s="1" t="str">
        <f t="shared" si="11"/>
        <v/>
      </c>
      <c r="D148" s="1" t="str">
        <f t="shared" si="12"/>
        <v/>
      </c>
      <c r="J148" s="13">
        <f t="shared" si="4"/>
        <v>0</v>
      </c>
      <c r="K148" s="1" t="s">
        <v>98</v>
      </c>
    </row>
    <row r="149" spans="1:11">
      <c r="A149" s="1" t="str">
        <f t="shared" si="9"/>
        <v/>
      </c>
      <c r="B149" s="1" t="str">
        <f t="shared" si="10"/>
        <v/>
      </c>
      <c r="C149" s="1" t="str">
        <f t="shared" si="11"/>
        <v/>
      </c>
      <c r="D149" s="1" t="str">
        <f t="shared" si="12"/>
        <v/>
      </c>
      <c r="J149" s="13">
        <f t="shared" si="4"/>
        <v>0</v>
      </c>
      <c r="K149" s="1" t="s">
        <v>24</v>
      </c>
    </row>
    <row r="150" spans="1:11">
      <c r="A150" s="1" t="str">
        <f t="shared" si="9"/>
        <v/>
      </c>
      <c r="B150" s="1" t="str">
        <f t="shared" si="10"/>
        <v/>
      </c>
      <c r="C150" s="1" t="str">
        <f t="shared" si="11"/>
        <v/>
      </c>
      <c r="D150" s="1" t="str">
        <f t="shared" si="12"/>
        <v/>
      </c>
      <c r="J150" s="13">
        <f t="shared" si="4"/>
        <v>0</v>
      </c>
      <c r="K150" s="1" t="s">
        <v>85</v>
      </c>
    </row>
    <row r="151" spans="1:11">
      <c r="A151" s="1" t="str">
        <f t="shared" si="9"/>
        <v/>
      </c>
      <c r="B151" s="1" t="str">
        <f t="shared" si="10"/>
        <v/>
      </c>
      <c r="C151" s="1" t="str">
        <f t="shared" si="11"/>
        <v/>
      </c>
      <c r="D151" s="1" t="str">
        <f t="shared" si="12"/>
        <v/>
      </c>
      <c r="J151" s="13">
        <f t="shared" si="4"/>
        <v>0</v>
      </c>
      <c r="K151" s="1" t="s">
        <v>59</v>
      </c>
    </row>
    <row r="152" spans="1:11">
      <c r="A152" s="1" t="str">
        <f t="shared" si="9"/>
        <v/>
      </c>
      <c r="B152" s="1" t="str">
        <f t="shared" si="10"/>
        <v/>
      </c>
      <c r="C152" s="1" t="str">
        <f t="shared" si="11"/>
        <v/>
      </c>
      <c r="D152" s="1" t="str">
        <f t="shared" si="12"/>
        <v/>
      </c>
      <c r="J152" s="13">
        <f t="shared" si="4"/>
        <v>0</v>
      </c>
      <c r="K152" s="1" t="s">
        <v>89</v>
      </c>
    </row>
    <row r="153" spans="1:11">
      <c r="A153" s="1" t="str">
        <f t="shared" si="9"/>
        <v/>
      </c>
      <c r="B153" s="1" t="str">
        <f t="shared" si="10"/>
        <v/>
      </c>
      <c r="C153" s="1" t="str">
        <f t="shared" si="11"/>
        <v/>
      </c>
      <c r="D153" s="1" t="str">
        <f t="shared" si="12"/>
        <v/>
      </c>
      <c r="J153" s="13">
        <f t="shared" si="4"/>
        <v>0</v>
      </c>
      <c r="K153" s="1" t="s">
        <v>98</v>
      </c>
    </row>
    <row r="154" spans="1:11">
      <c r="A154" s="1" t="str">
        <f t="shared" si="9"/>
        <v/>
      </c>
      <c r="B154" s="1" t="str">
        <f t="shared" si="10"/>
        <v/>
      </c>
      <c r="C154" s="1" t="str">
        <f t="shared" si="11"/>
        <v/>
      </c>
      <c r="D154" s="1" t="str">
        <f t="shared" si="12"/>
        <v/>
      </c>
      <c r="J154" s="13">
        <f t="shared" si="4"/>
        <v>0</v>
      </c>
      <c r="K154" s="1" t="s">
        <v>89</v>
      </c>
    </row>
    <row r="155" spans="1:11">
      <c r="A155" s="1" t="str">
        <f t="shared" si="9"/>
        <v/>
      </c>
      <c r="B155" s="1" t="str">
        <f t="shared" si="10"/>
        <v/>
      </c>
      <c r="C155" s="1" t="str">
        <f t="shared" si="11"/>
        <v/>
      </c>
      <c r="D155" s="1" t="str">
        <f t="shared" si="12"/>
        <v/>
      </c>
      <c r="J155" s="13">
        <f t="shared" si="4"/>
        <v>0</v>
      </c>
      <c r="K155" s="1" t="s">
        <v>26</v>
      </c>
    </row>
    <row r="156" spans="1:11">
      <c r="A156" s="1" t="str">
        <f t="shared" si="9"/>
        <v/>
      </c>
      <c r="B156" s="1" t="str">
        <f t="shared" si="10"/>
        <v/>
      </c>
      <c r="C156" s="1" t="str">
        <f t="shared" si="11"/>
        <v/>
      </c>
      <c r="D156" s="1" t="str">
        <f t="shared" si="12"/>
        <v/>
      </c>
      <c r="J156" s="13">
        <f t="shared" si="4"/>
        <v>0</v>
      </c>
      <c r="K156" s="1"/>
    </row>
    <row r="157" spans="1:11">
      <c r="A157" s="1" t="str">
        <f t="shared" si="9"/>
        <v/>
      </c>
      <c r="B157" s="1" t="str">
        <f t="shared" si="10"/>
        <v/>
      </c>
      <c r="C157" s="1" t="str">
        <f t="shared" si="11"/>
        <v/>
      </c>
      <c r="D157" s="1" t="str">
        <f t="shared" si="12"/>
        <v/>
      </c>
      <c r="J157" s="13">
        <f t="shared" si="4"/>
        <v>0</v>
      </c>
      <c r="K157" s="1"/>
    </row>
    <row r="158" spans="1:11">
      <c r="A158" s="1" t="str">
        <f t="shared" si="9"/>
        <v/>
      </c>
      <c r="B158" s="1" t="str">
        <f t="shared" si="10"/>
        <v/>
      </c>
      <c r="C158" s="1" t="str">
        <f t="shared" si="11"/>
        <v/>
      </c>
      <c r="D158" s="1" t="str">
        <f t="shared" si="12"/>
        <v/>
      </c>
      <c r="J158" s="13">
        <f t="shared" si="4"/>
        <v>0</v>
      </c>
      <c r="K158" s="1"/>
    </row>
    <row r="159" spans="1:11">
      <c r="A159" s="1" t="str">
        <f t="shared" si="9"/>
        <v/>
      </c>
      <c r="B159" s="1" t="str">
        <f t="shared" si="10"/>
        <v/>
      </c>
      <c r="C159" s="1" t="str">
        <f t="shared" si="11"/>
        <v/>
      </c>
      <c r="D159" s="1" t="str">
        <f t="shared" si="12"/>
        <v/>
      </c>
      <c r="J159" s="13">
        <f t="shared" si="4"/>
        <v>0</v>
      </c>
      <c r="K159" s="1"/>
    </row>
    <row r="160" spans="1:11">
      <c r="A160" s="1" t="str">
        <f t="shared" si="9"/>
        <v/>
      </c>
      <c r="B160" s="1" t="str">
        <f t="shared" si="10"/>
        <v/>
      </c>
      <c r="C160" s="1" t="str">
        <f t="shared" si="11"/>
        <v/>
      </c>
      <c r="D160" s="1" t="str">
        <f t="shared" si="12"/>
        <v/>
      </c>
      <c r="J160" s="13">
        <f t="shared" si="4"/>
        <v>0</v>
      </c>
    </row>
    <row r="161" spans="1:11">
      <c r="A161" s="1" t="str">
        <f t="shared" si="9"/>
        <v/>
      </c>
      <c r="B161" s="1" t="str">
        <f t="shared" si="10"/>
        <v/>
      </c>
      <c r="C161" s="1" t="str">
        <f t="shared" si="11"/>
        <v/>
      </c>
      <c r="D161" s="1" t="str">
        <f t="shared" si="12"/>
        <v/>
      </c>
      <c r="J161" s="13">
        <f t="shared" si="4"/>
        <v>0</v>
      </c>
    </row>
    <row r="162" spans="1:11">
      <c r="A162" s="1" t="str">
        <f t="shared" si="9"/>
        <v/>
      </c>
      <c r="B162" s="1" t="str">
        <f t="shared" si="10"/>
        <v/>
      </c>
      <c r="C162" s="1" t="str">
        <f t="shared" si="11"/>
        <v/>
      </c>
      <c r="D162" s="1" t="str">
        <f t="shared" si="12"/>
        <v/>
      </c>
      <c r="J162" s="13">
        <f t="shared" si="4"/>
        <v>0</v>
      </c>
    </row>
    <row r="163" spans="1:11">
      <c r="A163" s="1" t="str">
        <f t="shared" si="9"/>
        <v/>
      </c>
      <c r="B163" s="1" t="str">
        <f t="shared" si="10"/>
        <v/>
      </c>
      <c r="C163" s="1" t="str">
        <f t="shared" si="11"/>
        <v/>
      </c>
      <c r="D163" s="1" t="str">
        <f t="shared" si="12"/>
        <v/>
      </c>
      <c r="J163" s="13">
        <f t="shared" si="4"/>
        <v>0</v>
      </c>
      <c r="K163" s="1"/>
    </row>
    <row r="164" spans="1:11">
      <c r="A164" s="1" t="str">
        <f t="shared" si="9"/>
        <v/>
      </c>
      <c r="B164" s="1" t="str">
        <f t="shared" si="10"/>
        <v/>
      </c>
      <c r="C164" s="1" t="str">
        <f t="shared" si="11"/>
        <v/>
      </c>
      <c r="D164" s="1" t="str">
        <f t="shared" si="12"/>
        <v/>
      </c>
      <c r="J164" s="13">
        <f t="shared" si="4"/>
        <v>0</v>
      </c>
      <c r="K164" s="1"/>
    </row>
    <row r="165" spans="1:11">
      <c r="A165" s="1" t="str">
        <f t="shared" si="9"/>
        <v/>
      </c>
      <c r="B165" s="1" t="str">
        <f t="shared" si="10"/>
        <v/>
      </c>
      <c r="C165" s="1" t="str">
        <f t="shared" si="11"/>
        <v/>
      </c>
      <c r="D165" s="1" t="str">
        <f t="shared" si="12"/>
        <v/>
      </c>
      <c r="J165" s="13">
        <f t="shared" si="4"/>
        <v>0</v>
      </c>
      <c r="K165" s="1"/>
    </row>
    <row r="166" spans="1:11">
      <c r="A166" s="1" t="str">
        <f t="shared" si="9"/>
        <v/>
      </c>
      <c r="B166" s="1" t="str">
        <f t="shared" si="10"/>
        <v/>
      </c>
      <c r="C166" s="1" t="str">
        <f t="shared" si="11"/>
        <v/>
      </c>
      <c r="D166" s="1" t="str">
        <f t="shared" si="12"/>
        <v/>
      </c>
      <c r="J166" s="13">
        <f t="shared" si="4"/>
        <v>0</v>
      </c>
      <c r="K166" s="1"/>
    </row>
    <row r="167" spans="1:11">
      <c r="A167" s="1" t="str">
        <f t="shared" si="9"/>
        <v/>
      </c>
      <c r="B167" s="1" t="str">
        <f t="shared" si="10"/>
        <v/>
      </c>
      <c r="C167" s="1" t="str">
        <f t="shared" si="11"/>
        <v/>
      </c>
      <c r="D167" s="1" t="str">
        <f t="shared" si="12"/>
        <v/>
      </c>
      <c r="J167" s="13">
        <f t="shared" si="4"/>
        <v>0</v>
      </c>
      <c r="K167" s="1"/>
    </row>
    <row r="168" spans="1:11">
      <c r="A168" s="1" t="str">
        <f t="shared" si="9"/>
        <v/>
      </c>
      <c r="B168" s="1" t="str">
        <f t="shared" si="10"/>
        <v/>
      </c>
      <c r="C168" s="1" t="str">
        <f t="shared" si="11"/>
        <v/>
      </c>
      <c r="D168" s="1" t="str">
        <f t="shared" si="12"/>
        <v/>
      </c>
      <c r="J168" s="13">
        <f t="shared" si="4"/>
        <v>0</v>
      </c>
      <c r="K168" s="1"/>
    </row>
    <row r="169" spans="1:11">
      <c r="A169" s="1" t="str">
        <f t="shared" si="9"/>
        <v/>
      </c>
      <c r="B169" s="1" t="str">
        <f t="shared" si="10"/>
        <v/>
      </c>
      <c r="C169" s="1" t="str">
        <f t="shared" si="11"/>
        <v/>
      </c>
      <c r="D169" s="1" t="str">
        <f t="shared" si="12"/>
        <v/>
      </c>
      <c r="J169" s="13">
        <f t="shared" si="4"/>
        <v>0</v>
      </c>
      <c r="K169" s="1"/>
    </row>
    <row r="170" spans="1:11">
      <c r="A170" s="1" t="str">
        <f t="shared" si="9"/>
        <v/>
      </c>
      <c r="B170" s="1" t="str">
        <f t="shared" si="10"/>
        <v/>
      </c>
      <c r="C170" s="1" t="str">
        <f t="shared" si="11"/>
        <v/>
      </c>
      <c r="D170" s="1" t="str">
        <f t="shared" si="12"/>
        <v/>
      </c>
      <c r="J170" s="13">
        <f t="shared" si="4"/>
        <v>0</v>
      </c>
      <c r="K170" s="1"/>
    </row>
    <row r="171" spans="1:11">
      <c r="A171" s="1" t="str">
        <f t="shared" si="9"/>
        <v/>
      </c>
      <c r="B171" s="1" t="str">
        <f t="shared" si="10"/>
        <v/>
      </c>
      <c r="C171" s="1" t="str">
        <f t="shared" si="11"/>
        <v/>
      </c>
      <c r="D171" s="1" t="str">
        <f t="shared" si="12"/>
        <v/>
      </c>
      <c r="J171" s="13">
        <f t="shared" si="4"/>
        <v>0</v>
      </c>
      <c r="K171" s="1"/>
    </row>
    <row r="172" spans="1:11">
      <c r="A172" s="1" t="str">
        <f t="shared" si="9"/>
        <v/>
      </c>
      <c r="B172" s="1" t="str">
        <f t="shared" si="10"/>
        <v/>
      </c>
      <c r="C172" s="1" t="str">
        <f t="shared" si="11"/>
        <v/>
      </c>
      <c r="D172" s="1" t="str">
        <f t="shared" si="12"/>
        <v/>
      </c>
      <c r="J172" s="13">
        <f t="shared" si="4"/>
        <v>0</v>
      </c>
      <c r="K172" s="1"/>
    </row>
    <row r="173" spans="1:11">
      <c r="A173" s="1" t="str">
        <f t="shared" si="9"/>
        <v/>
      </c>
      <c r="B173" s="1" t="str">
        <f t="shared" si="10"/>
        <v/>
      </c>
      <c r="C173" s="1" t="str">
        <f t="shared" si="11"/>
        <v/>
      </c>
      <c r="D173" s="1" t="str">
        <f t="shared" si="12"/>
        <v/>
      </c>
      <c r="J173" s="13">
        <f t="shared" si="4"/>
        <v>0</v>
      </c>
      <c r="K173" s="1"/>
    </row>
    <row r="174" spans="1:11">
      <c r="A174" s="1" t="str">
        <f t="shared" si="9"/>
        <v/>
      </c>
      <c r="B174" s="1" t="str">
        <f t="shared" si="10"/>
        <v/>
      </c>
      <c r="C174" s="1" t="str">
        <f t="shared" si="11"/>
        <v/>
      </c>
      <c r="D174" s="1" t="str">
        <f t="shared" si="12"/>
        <v/>
      </c>
      <c r="J174" s="13">
        <f t="shared" si="4"/>
        <v>0</v>
      </c>
      <c r="K174" s="1"/>
    </row>
    <row r="175" spans="1:11">
      <c r="A175" s="1" t="str">
        <f t="shared" si="9"/>
        <v/>
      </c>
      <c r="B175" s="1" t="str">
        <f t="shared" si="10"/>
        <v/>
      </c>
      <c r="C175" s="1" t="str">
        <f t="shared" si="11"/>
        <v/>
      </c>
      <c r="D175" s="1" t="str">
        <f t="shared" si="12"/>
        <v/>
      </c>
      <c r="J175" s="13">
        <f t="shared" si="4"/>
        <v>0</v>
      </c>
      <c r="K175" s="1"/>
    </row>
    <row r="176" spans="1:11">
      <c r="A176" s="1" t="str">
        <f t="shared" si="9"/>
        <v/>
      </c>
      <c r="B176" s="1" t="str">
        <f t="shared" si="10"/>
        <v/>
      </c>
      <c r="C176" s="1" t="str">
        <f t="shared" si="11"/>
        <v/>
      </c>
      <c r="D176" s="1" t="str">
        <f t="shared" si="12"/>
        <v/>
      </c>
      <c r="J176" s="13">
        <f t="shared" si="4"/>
        <v>0</v>
      </c>
      <c r="K176" s="1"/>
    </row>
    <row r="177" spans="1:11">
      <c r="A177" s="1" t="str">
        <f t="shared" si="9"/>
        <v/>
      </c>
      <c r="B177" s="1" t="str">
        <f t="shared" si="10"/>
        <v/>
      </c>
      <c r="C177" s="1" t="str">
        <f t="shared" si="11"/>
        <v/>
      </c>
      <c r="D177" s="1" t="str">
        <f t="shared" si="12"/>
        <v/>
      </c>
      <c r="J177" s="13">
        <f t="shared" si="4"/>
        <v>0</v>
      </c>
      <c r="K177" s="1"/>
    </row>
    <row r="178" spans="1:11">
      <c r="A178" s="1" t="str">
        <f t="shared" si="9"/>
        <v/>
      </c>
      <c r="B178" s="1" t="str">
        <f t="shared" si="10"/>
        <v/>
      </c>
      <c r="C178" s="1" t="str">
        <f t="shared" si="11"/>
        <v/>
      </c>
      <c r="D178" s="1" t="str">
        <f t="shared" si="12"/>
        <v/>
      </c>
      <c r="J178" s="13">
        <f t="shared" si="4"/>
        <v>0</v>
      </c>
      <c r="K178" s="1"/>
    </row>
    <row r="179" spans="1:11">
      <c r="A179" s="1" t="str">
        <f t="shared" si="9"/>
        <v/>
      </c>
      <c r="B179" s="1" t="str">
        <f t="shared" si="10"/>
        <v/>
      </c>
      <c r="C179" s="1" t="str">
        <f t="shared" si="11"/>
        <v/>
      </c>
      <c r="D179" s="1" t="str">
        <f t="shared" si="12"/>
        <v/>
      </c>
      <c r="J179" s="13">
        <f t="shared" si="4"/>
        <v>0</v>
      </c>
      <c r="K179" s="1"/>
    </row>
    <row r="180" spans="1:11">
      <c r="A180" s="1" t="str">
        <f t="shared" si="9"/>
        <v/>
      </c>
      <c r="B180" s="1" t="str">
        <f t="shared" si="10"/>
        <v/>
      </c>
      <c r="C180" s="1" t="str">
        <f t="shared" si="11"/>
        <v/>
      </c>
      <c r="D180" s="1" t="str">
        <f t="shared" si="12"/>
        <v/>
      </c>
      <c r="J180" s="13">
        <f t="shared" si="4"/>
        <v>0</v>
      </c>
      <c r="K180" s="1"/>
    </row>
    <row r="181" spans="1:11">
      <c r="A181" s="1" t="str">
        <f t="shared" si="9"/>
        <v/>
      </c>
      <c r="B181" s="1" t="str">
        <f t="shared" si="10"/>
        <v/>
      </c>
      <c r="C181" s="1" t="str">
        <f t="shared" si="11"/>
        <v/>
      </c>
      <c r="D181" s="1" t="str">
        <f t="shared" si="12"/>
        <v/>
      </c>
      <c r="J181" s="13">
        <f t="shared" si="4"/>
        <v>0</v>
      </c>
      <c r="K181" s="1"/>
    </row>
    <row r="182" spans="1:11">
      <c r="A182" s="1" t="str">
        <f t="shared" si="9"/>
        <v/>
      </c>
      <c r="B182" s="1" t="str">
        <f t="shared" si="10"/>
        <v/>
      </c>
      <c r="C182" s="1" t="str">
        <f t="shared" si="11"/>
        <v/>
      </c>
      <c r="D182" s="1" t="str">
        <f t="shared" si="12"/>
        <v/>
      </c>
      <c r="J182" s="13">
        <f t="shared" si="4"/>
        <v>0</v>
      </c>
      <c r="K182" s="1"/>
    </row>
    <row r="183" spans="1:11">
      <c r="A183" s="1" t="str">
        <f t="shared" si="9"/>
        <v/>
      </c>
      <c r="B183" s="1" t="str">
        <f t="shared" si="10"/>
        <v/>
      </c>
      <c r="C183" s="1" t="str">
        <f t="shared" si="11"/>
        <v/>
      </c>
      <c r="D183" s="1" t="str">
        <f t="shared" si="12"/>
        <v/>
      </c>
      <c r="J183" s="13">
        <f t="shared" si="4"/>
        <v>0</v>
      </c>
      <c r="K183" s="1"/>
    </row>
    <row r="184" spans="1:11">
      <c r="A184" s="1" t="str">
        <f t="shared" si="9"/>
        <v/>
      </c>
      <c r="B184" s="1" t="str">
        <f t="shared" si="10"/>
        <v/>
      </c>
      <c r="C184" s="1" t="str">
        <f t="shared" si="11"/>
        <v/>
      </c>
      <c r="D184" s="1" t="str">
        <f t="shared" si="12"/>
        <v/>
      </c>
      <c r="J184" s="13">
        <f t="shared" si="4"/>
        <v>0</v>
      </c>
      <c r="K184" s="1"/>
    </row>
    <row r="185" spans="1:11">
      <c r="A185" s="1" t="str">
        <f t="shared" si="9"/>
        <v/>
      </c>
      <c r="B185" s="1" t="str">
        <f t="shared" si="10"/>
        <v/>
      </c>
      <c r="C185" s="1" t="str">
        <f t="shared" si="11"/>
        <v/>
      </c>
      <c r="D185" s="1" t="str">
        <f t="shared" si="12"/>
        <v/>
      </c>
      <c r="J185" s="13">
        <f t="shared" si="4"/>
        <v>0</v>
      </c>
      <c r="K185" s="1"/>
    </row>
    <row r="186" spans="1:11">
      <c r="A186" s="1" t="str">
        <f t="shared" si="9"/>
        <v/>
      </c>
      <c r="B186" s="1" t="str">
        <f t="shared" si="10"/>
        <v/>
      </c>
      <c r="C186" s="1" t="str">
        <f t="shared" si="11"/>
        <v/>
      </c>
      <c r="D186" s="1" t="str">
        <f t="shared" si="12"/>
        <v/>
      </c>
      <c r="J186" s="13">
        <f t="shared" si="4"/>
        <v>0</v>
      </c>
      <c r="K186" s="1"/>
    </row>
    <row r="187" spans="1:11">
      <c r="A187" s="1" t="str">
        <f t="shared" si="9"/>
        <v/>
      </c>
      <c r="B187" s="1" t="str">
        <f t="shared" si="10"/>
        <v/>
      </c>
      <c r="C187" s="1" t="str">
        <f t="shared" si="11"/>
        <v/>
      </c>
      <c r="D187" s="1" t="str">
        <f t="shared" si="12"/>
        <v/>
      </c>
      <c r="J187" s="13">
        <f t="shared" si="4"/>
        <v>0</v>
      </c>
      <c r="K187" s="1"/>
    </row>
    <row r="188" spans="1:11">
      <c r="A188" s="1" t="str">
        <f t="shared" si="9"/>
        <v/>
      </c>
      <c r="B188" s="1" t="str">
        <f t="shared" si="10"/>
        <v/>
      </c>
      <c r="C188" s="1" t="str">
        <f t="shared" si="11"/>
        <v/>
      </c>
      <c r="D188" s="1" t="str">
        <f t="shared" si="12"/>
        <v/>
      </c>
      <c r="J188" s="13">
        <f t="shared" si="4"/>
        <v>0</v>
      </c>
      <c r="K188" s="1"/>
    </row>
    <row r="189" spans="1:11">
      <c r="A189" s="1" t="str">
        <f t="shared" si="9"/>
        <v/>
      </c>
      <c r="B189" s="1" t="str">
        <f t="shared" si="10"/>
        <v/>
      </c>
      <c r="C189" s="1" t="str">
        <f t="shared" si="11"/>
        <v/>
      </c>
      <c r="D189" s="1" t="str">
        <f t="shared" si="12"/>
        <v/>
      </c>
      <c r="J189" s="13">
        <f t="shared" si="4"/>
        <v>0</v>
      </c>
      <c r="K189" s="1"/>
    </row>
    <row r="190" spans="1:11">
      <c r="A190" s="1" t="str">
        <f t="shared" si="9"/>
        <v/>
      </c>
      <c r="B190" s="1" t="str">
        <f t="shared" si="10"/>
        <v/>
      </c>
      <c r="C190" s="1" t="str">
        <f t="shared" si="11"/>
        <v/>
      </c>
      <c r="D190" s="1" t="str">
        <f t="shared" si="12"/>
        <v/>
      </c>
      <c r="J190" s="13">
        <f t="shared" si="4"/>
        <v>0</v>
      </c>
      <c r="K190" s="1"/>
    </row>
    <row r="191" spans="1:11">
      <c r="A191" s="1" t="str">
        <f t="shared" si="9"/>
        <v/>
      </c>
      <c r="B191" s="1" t="str">
        <f t="shared" si="10"/>
        <v/>
      </c>
      <c r="C191" s="1" t="str">
        <f t="shared" si="11"/>
        <v/>
      </c>
      <c r="D191" s="1" t="str">
        <f t="shared" si="12"/>
        <v/>
      </c>
      <c r="J191" s="13">
        <f t="shared" si="4"/>
        <v>0</v>
      </c>
      <c r="K191" s="1"/>
    </row>
    <row r="192" spans="1:11">
      <c r="A192" s="1" t="str">
        <f t="shared" si="9"/>
        <v/>
      </c>
      <c r="B192" s="1" t="str">
        <f t="shared" si="10"/>
        <v/>
      </c>
      <c r="C192" s="1" t="str">
        <f t="shared" si="11"/>
        <v/>
      </c>
      <c r="D192" s="1" t="str">
        <f t="shared" si="12"/>
        <v/>
      </c>
      <c r="J192" s="13">
        <f t="shared" si="4"/>
        <v>0</v>
      </c>
      <c r="K192" s="1"/>
    </row>
    <row r="193" spans="1:11">
      <c r="A193" s="1" t="str">
        <f t="shared" si="9"/>
        <v/>
      </c>
      <c r="B193" s="1" t="str">
        <f t="shared" si="10"/>
        <v/>
      </c>
      <c r="C193" s="1" t="str">
        <f t="shared" si="11"/>
        <v/>
      </c>
      <c r="D193" s="1" t="str">
        <f t="shared" si="12"/>
        <v/>
      </c>
      <c r="J193" s="13">
        <f t="shared" si="4"/>
        <v>0</v>
      </c>
      <c r="K193" s="1"/>
    </row>
    <row r="194" spans="1:11">
      <c r="A194" s="1" t="str">
        <f t="shared" si="9"/>
        <v/>
      </c>
      <c r="B194" s="1" t="str">
        <f t="shared" si="10"/>
        <v/>
      </c>
      <c r="C194" s="1" t="str">
        <f t="shared" si="11"/>
        <v/>
      </c>
      <c r="D194" s="1" t="str">
        <f t="shared" si="12"/>
        <v/>
      </c>
      <c r="J194" s="13">
        <f t="shared" si="4"/>
        <v>0</v>
      </c>
      <c r="K194" s="1"/>
    </row>
    <row r="195" spans="1:11">
      <c r="A195" s="1" t="str">
        <f t="shared" si="9"/>
        <v/>
      </c>
      <c r="B195" s="1" t="str">
        <f t="shared" si="10"/>
        <v/>
      </c>
      <c r="C195" s="1" t="str">
        <f t="shared" si="11"/>
        <v/>
      </c>
      <c r="D195" s="1" t="str">
        <f t="shared" si="12"/>
        <v/>
      </c>
      <c r="J195" s="13">
        <f t="shared" si="4"/>
        <v>0</v>
      </c>
      <c r="K195" s="1"/>
    </row>
    <row r="196" spans="1:11">
      <c r="A196" s="1" t="str">
        <f t="shared" si="9"/>
        <v/>
      </c>
      <c r="B196" s="1" t="str">
        <f t="shared" si="10"/>
        <v/>
      </c>
      <c r="C196" s="1" t="str">
        <f t="shared" si="11"/>
        <v/>
      </c>
      <c r="D196" s="1" t="str">
        <f t="shared" si="12"/>
        <v/>
      </c>
      <c r="J196" s="13">
        <f t="shared" si="4"/>
        <v>0</v>
      </c>
      <c r="K196" s="1"/>
    </row>
    <row r="197" spans="1:11">
      <c r="A197" s="1" t="str">
        <f t="shared" si="9"/>
        <v/>
      </c>
      <c r="B197" s="1" t="str">
        <f t="shared" si="10"/>
        <v/>
      </c>
      <c r="C197" s="1" t="str">
        <f t="shared" si="11"/>
        <v/>
      </c>
      <c r="D197" s="1" t="str">
        <f t="shared" si="12"/>
        <v/>
      </c>
      <c r="J197" s="13">
        <f t="shared" si="4"/>
        <v>0</v>
      </c>
      <c r="K197" s="1"/>
    </row>
    <row r="198" spans="1:11">
      <c r="A198" s="1" t="str">
        <f t="shared" si="9"/>
        <v/>
      </c>
      <c r="B198" s="1" t="str">
        <f t="shared" si="10"/>
        <v/>
      </c>
      <c r="C198" s="1" t="str">
        <f t="shared" si="11"/>
        <v/>
      </c>
      <c r="D198" s="1" t="str">
        <f t="shared" si="12"/>
        <v/>
      </c>
      <c r="J198" s="13">
        <f t="shared" si="4"/>
        <v>0</v>
      </c>
      <c r="K198" s="1"/>
    </row>
    <row r="199" spans="1:11">
      <c r="A199" s="1" t="str">
        <f t="shared" si="9"/>
        <v/>
      </c>
      <c r="B199" s="1" t="str">
        <f t="shared" si="10"/>
        <v/>
      </c>
      <c r="C199" s="1" t="str">
        <f t="shared" si="11"/>
        <v/>
      </c>
      <c r="D199" s="1" t="str">
        <f t="shared" si="12"/>
        <v/>
      </c>
      <c r="J199" s="13">
        <f t="shared" si="4"/>
        <v>0</v>
      </c>
      <c r="K199" s="1"/>
    </row>
    <row r="200" spans="1:11">
      <c r="A200" s="1" t="str">
        <f t="shared" si="9"/>
        <v/>
      </c>
      <c r="B200" s="1" t="str">
        <f t="shared" si="10"/>
        <v/>
      </c>
      <c r="C200" s="1" t="str">
        <f t="shared" si="11"/>
        <v/>
      </c>
      <c r="D200" s="1" t="str">
        <f t="shared" si="12"/>
        <v/>
      </c>
      <c r="J200" s="13">
        <f t="shared" si="4"/>
        <v>0</v>
      </c>
      <c r="K200" s="1"/>
    </row>
    <row r="201" spans="1:11">
      <c r="A201" s="1" t="str">
        <f t="shared" si="9"/>
        <v/>
      </c>
      <c r="B201" s="1" t="str">
        <f t="shared" si="10"/>
        <v/>
      </c>
      <c r="C201" s="1" t="str">
        <f t="shared" si="11"/>
        <v/>
      </c>
      <c r="D201" s="1" t="str">
        <f t="shared" si="12"/>
        <v/>
      </c>
      <c r="J201" s="13">
        <f t="shared" si="4"/>
        <v>0</v>
      </c>
      <c r="K201" s="1"/>
    </row>
    <row r="202" spans="1:11">
      <c r="A202" s="1" t="str">
        <f t="shared" si="9"/>
        <v/>
      </c>
      <c r="B202" s="1" t="str">
        <f t="shared" si="10"/>
        <v/>
      </c>
      <c r="C202" s="1" t="str">
        <f t="shared" si="11"/>
        <v/>
      </c>
      <c r="D202" s="1" t="str">
        <f t="shared" si="12"/>
        <v/>
      </c>
      <c r="J202" s="13">
        <f t="shared" si="4"/>
        <v>0</v>
      </c>
      <c r="K202" s="1"/>
    </row>
    <row r="203" spans="1:11">
      <c r="A203" s="1" t="str">
        <f t="shared" si="9"/>
        <v/>
      </c>
      <c r="B203" s="1" t="str">
        <f t="shared" si="10"/>
        <v/>
      </c>
      <c r="C203" s="1" t="str">
        <f t="shared" si="11"/>
        <v/>
      </c>
      <c r="D203" s="1" t="str">
        <f t="shared" si="12"/>
        <v/>
      </c>
      <c r="J203" s="13">
        <f t="shared" si="4"/>
        <v>0</v>
      </c>
      <c r="K203" s="1"/>
    </row>
    <row r="204" spans="1:11">
      <c r="A204" s="1" t="str">
        <f t="shared" si="9"/>
        <v/>
      </c>
      <c r="B204" s="1" t="str">
        <f t="shared" si="10"/>
        <v/>
      </c>
      <c r="C204" s="1" t="str">
        <f t="shared" si="11"/>
        <v/>
      </c>
      <c r="D204" s="1" t="str">
        <f t="shared" si="12"/>
        <v/>
      </c>
      <c r="J204" s="13">
        <f t="shared" si="4"/>
        <v>0</v>
      </c>
      <c r="K204" s="1"/>
    </row>
    <row r="205" spans="1:11">
      <c r="A205" s="1" t="str">
        <f t="shared" si="9"/>
        <v/>
      </c>
      <c r="B205" s="1" t="str">
        <f t="shared" si="10"/>
        <v/>
      </c>
      <c r="C205" s="1" t="str">
        <f t="shared" si="11"/>
        <v/>
      </c>
      <c r="D205" s="1" t="str">
        <f t="shared" si="12"/>
        <v/>
      </c>
      <c r="J205" s="13">
        <f t="shared" si="4"/>
        <v>0</v>
      </c>
      <c r="K205" s="1"/>
    </row>
    <row r="206" spans="1:11">
      <c r="A206" s="1" t="str">
        <f t="shared" si="9"/>
        <v/>
      </c>
      <c r="B206" s="1" t="str">
        <f t="shared" si="10"/>
        <v/>
      </c>
      <c r="C206" s="1" t="str">
        <f t="shared" si="11"/>
        <v/>
      </c>
      <c r="D206" s="1" t="str">
        <f t="shared" si="12"/>
        <v/>
      </c>
      <c r="J206" s="13">
        <f t="shared" si="4"/>
        <v>0</v>
      </c>
      <c r="K206" s="1"/>
    </row>
    <row r="207" spans="1:11">
      <c r="A207" s="1" t="str">
        <f t="shared" si="9"/>
        <v/>
      </c>
      <c r="B207" s="1" t="str">
        <f t="shared" si="10"/>
        <v/>
      </c>
      <c r="C207" s="1" t="str">
        <f t="shared" si="11"/>
        <v/>
      </c>
      <c r="D207" s="1" t="str">
        <f t="shared" si="12"/>
        <v/>
      </c>
      <c r="J207" s="13">
        <f t="shared" si="4"/>
        <v>0</v>
      </c>
      <c r="K207" s="1"/>
    </row>
    <row r="208" spans="1:11">
      <c r="A208" s="1" t="str">
        <f t="shared" si="9"/>
        <v/>
      </c>
      <c r="B208" s="1" t="str">
        <f t="shared" si="10"/>
        <v/>
      </c>
      <c r="C208" s="1" t="str">
        <f t="shared" si="11"/>
        <v/>
      </c>
      <c r="D208" s="1" t="str">
        <f t="shared" si="12"/>
        <v/>
      </c>
      <c r="J208" s="13">
        <f t="shared" si="4"/>
        <v>0</v>
      </c>
      <c r="K208" s="1"/>
    </row>
    <row r="209" spans="1:11">
      <c r="A209" s="1" t="str">
        <f t="shared" si="9"/>
        <v/>
      </c>
      <c r="B209" s="1" t="str">
        <f t="shared" si="10"/>
        <v/>
      </c>
      <c r="C209" s="1" t="str">
        <f t="shared" si="11"/>
        <v/>
      </c>
      <c r="D209" s="1" t="str">
        <f t="shared" si="12"/>
        <v/>
      </c>
      <c r="J209" s="13">
        <f t="shared" si="4"/>
        <v>0</v>
      </c>
      <c r="K209" s="1"/>
    </row>
    <row r="210" spans="1:11">
      <c r="A210" s="1" t="str">
        <f t="shared" si="9"/>
        <v/>
      </c>
      <c r="B210" s="1" t="str">
        <f t="shared" si="10"/>
        <v/>
      </c>
      <c r="C210" s="1" t="str">
        <f t="shared" si="11"/>
        <v/>
      </c>
      <c r="D210" s="1" t="str">
        <f t="shared" si="12"/>
        <v/>
      </c>
      <c r="J210" s="13">
        <f t="shared" si="4"/>
        <v>0</v>
      </c>
      <c r="K210" s="1"/>
    </row>
    <row r="211" spans="1:11">
      <c r="A211" s="1" t="str">
        <f t="shared" si="9"/>
        <v/>
      </c>
      <c r="B211" s="1" t="str">
        <f t="shared" si="10"/>
        <v/>
      </c>
      <c r="C211" s="1" t="str">
        <f t="shared" si="11"/>
        <v/>
      </c>
      <c r="D211" s="1" t="str">
        <f t="shared" si="12"/>
        <v/>
      </c>
      <c r="J211" s="13">
        <f t="shared" si="4"/>
        <v>0</v>
      </c>
      <c r="K211" s="1"/>
    </row>
    <row r="212" spans="1:11">
      <c r="A212" s="1" t="str">
        <f t="shared" si="9"/>
        <v/>
      </c>
      <c r="B212" s="1" t="str">
        <f t="shared" si="10"/>
        <v/>
      </c>
      <c r="C212" s="1" t="str">
        <f t="shared" si="11"/>
        <v/>
      </c>
      <c r="D212" s="1" t="str">
        <f t="shared" si="12"/>
        <v/>
      </c>
      <c r="J212" s="13">
        <f t="shared" si="4"/>
        <v>0</v>
      </c>
      <c r="K212" s="1"/>
    </row>
    <row r="213" spans="1:11">
      <c r="A213" s="1" t="str">
        <f t="shared" si="9"/>
        <v/>
      </c>
      <c r="B213" s="1" t="str">
        <f t="shared" si="10"/>
        <v/>
      </c>
      <c r="C213" s="1" t="str">
        <f t="shared" si="11"/>
        <v/>
      </c>
      <c r="D213" s="1" t="str">
        <f t="shared" si="12"/>
        <v/>
      </c>
      <c r="J213" s="13">
        <f t="shared" si="4"/>
        <v>0</v>
      </c>
      <c r="K213" s="1"/>
    </row>
    <row r="214" spans="1:11">
      <c r="A214" s="1" t="str">
        <f t="shared" si="9"/>
        <v/>
      </c>
      <c r="B214" s="1" t="str">
        <f t="shared" si="10"/>
        <v/>
      </c>
      <c r="C214" s="1" t="str">
        <f t="shared" si="11"/>
        <v/>
      </c>
      <c r="D214" s="1" t="str">
        <f t="shared" si="12"/>
        <v/>
      </c>
      <c r="J214" s="13">
        <f t="shared" si="4"/>
        <v>0</v>
      </c>
      <c r="K214" s="1"/>
    </row>
    <row r="215" spans="1:11">
      <c r="A215" s="1" t="str">
        <f t="shared" si="9"/>
        <v/>
      </c>
      <c r="B215" s="1" t="str">
        <f t="shared" si="10"/>
        <v/>
      </c>
      <c r="C215" s="1" t="str">
        <f t="shared" si="11"/>
        <v/>
      </c>
      <c r="D215" s="1" t="str">
        <f t="shared" si="12"/>
        <v/>
      </c>
      <c r="K215" s="1"/>
    </row>
    <row r="216" spans="1:11">
      <c r="A216" s="1" t="str">
        <f t="shared" si="9"/>
        <v/>
      </c>
      <c r="B216" s="1" t="str">
        <f t="shared" si="10"/>
        <v/>
      </c>
      <c r="C216" s="1" t="str">
        <f t="shared" si="11"/>
        <v/>
      </c>
      <c r="D216" s="1" t="str">
        <f t="shared" si="12"/>
        <v/>
      </c>
      <c r="K216" s="1"/>
    </row>
    <row r="217" spans="1:11">
      <c r="A217" s="1" t="str">
        <f t="shared" si="9"/>
        <v/>
      </c>
      <c r="B217" s="1" t="str">
        <f t="shared" si="10"/>
        <v/>
      </c>
      <c r="C217" s="1" t="str">
        <f t="shared" si="11"/>
        <v/>
      </c>
      <c r="D217" s="1" t="str">
        <f t="shared" si="12"/>
        <v/>
      </c>
      <c r="K217" s="1"/>
    </row>
    <row r="218" spans="1:11">
      <c r="A218" s="1" t="str">
        <f t="shared" si="9"/>
        <v/>
      </c>
      <c r="B218" s="1" t="str">
        <f t="shared" si="10"/>
        <v/>
      </c>
      <c r="C218" s="1" t="str">
        <f t="shared" si="11"/>
        <v/>
      </c>
      <c r="D218" s="1" t="str">
        <f t="shared" si="12"/>
        <v/>
      </c>
      <c r="K218" s="1"/>
    </row>
    <row r="219" spans="1:11">
      <c r="A219" s="1" t="str">
        <f t="shared" si="9"/>
        <v/>
      </c>
      <c r="B219" s="1" t="str">
        <f t="shared" si="10"/>
        <v/>
      </c>
      <c r="C219" s="1" t="str">
        <f t="shared" si="11"/>
        <v/>
      </c>
      <c r="D219" s="1" t="str">
        <f t="shared" si="12"/>
        <v/>
      </c>
      <c r="K219" s="1"/>
    </row>
    <row r="220" spans="1:11">
      <c r="A220" s="1" t="str">
        <f t="shared" si="9"/>
        <v/>
      </c>
      <c r="B220" s="1" t="str">
        <f t="shared" si="10"/>
        <v/>
      </c>
      <c r="C220" s="1" t="str">
        <f t="shared" si="11"/>
        <v/>
      </c>
      <c r="D220" s="1" t="str">
        <f t="shared" si="12"/>
        <v/>
      </c>
      <c r="K220" s="1"/>
    </row>
    <row r="221" spans="1:11">
      <c r="A221" s="1" t="str">
        <f t="shared" si="9"/>
        <v/>
      </c>
      <c r="B221" s="1" t="str">
        <f t="shared" si="10"/>
        <v/>
      </c>
      <c r="C221" s="1" t="str">
        <f t="shared" si="11"/>
        <v/>
      </c>
      <c r="D221" s="1" t="str">
        <f t="shared" si="12"/>
        <v/>
      </c>
      <c r="K221" s="1"/>
    </row>
    <row r="222" spans="1:11">
      <c r="A222" s="1" t="str">
        <f t="shared" si="9"/>
        <v/>
      </c>
      <c r="B222" s="1" t="str">
        <f t="shared" si="10"/>
        <v/>
      </c>
      <c r="C222" s="1" t="str">
        <f t="shared" si="11"/>
        <v/>
      </c>
      <c r="D222" s="1" t="str">
        <f t="shared" si="12"/>
        <v/>
      </c>
      <c r="K222" s="1"/>
    </row>
    <row r="223" spans="1:11">
      <c r="A223" s="1" t="str">
        <f t="shared" si="9"/>
        <v/>
      </c>
      <c r="B223" s="1" t="str">
        <f t="shared" si="10"/>
        <v/>
      </c>
      <c r="C223" s="1" t="str">
        <f t="shared" si="11"/>
        <v/>
      </c>
      <c r="D223" s="1" t="str">
        <f t="shared" si="12"/>
        <v/>
      </c>
      <c r="K223" s="1"/>
    </row>
    <row r="224" spans="1:11">
      <c r="A224" s="1" t="str">
        <f t="shared" si="9"/>
        <v/>
      </c>
      <c r="B224" s="1" t="str">
        <f t="shared" si="10"/>
        <v/>
      </c>
      <c r="C224" s="1" t="str">
        <f t="shared" si="11"/>
        <v/>
      </c>
      <c r="D224" s="1" t="str">
        <f t="shared" si="12"/>
        <v/>
      </c>
      <c r="K224" s="1"/>
    </row>
    <row r="225" spans="1:11">
      <c r="A225" s="1" t="str">
        <f t="shared" si="9"/>
        <v/>
      </c>
      <c r="B225" s="1" t="str">
        <f t="shared" si="10"/>
        <v/>
      </c>
      <c r="C225" s="1" t="str">
        <f t="shared" si="11"/>
        <v/>
      </c>
      <c r="D225" s="1" t="str">
        <f t="shared" si="12"/>
        <v/>
      </c>
      <c r="K225" s="1"/>
    </row>
    <row r="226" spans="1:11">
      <c r="A226" s="1" t="str">
        <f t="shared" si="9"/>
        <v/>
      </c>
      <c r="B226" s="1" t="str">
        <f t="shared" si="10"/>
        <v/>
      </c>
      <c r="C226" s="1" t="str">
        <f t="shared" si="11"/>
        <v/>
      </c>
      <c r="D226" s="1" t="str">
        <f t="shared" si="12"/>
        <v/>
      </c>
      <c r="K226" s="1"/>
    </row>
    <row r="227" spans="1:11">
      <c r="A227" s="1" t="str">
        <f t="shared" si="9"/>
        <v/>
      </c>
      <c r="B227" s="1" t="str">
        <f t="shared" si="10"/>
        <v/>
      </c>
      <c r="C227" s="1" t="str">
        <f t="shared" si="11"/>
        <v/>
      </c>
      <c r="D227" s="1" t="str">
        <f t="shared" si="12"/>
        <v/>
      </c>
      <c r="K227" s="1"/>
    </row>
    <row r="228" spans="1:11">
      <c r="A228" s="1" t="str">
        <f t="shared" si="9"/>
        <v/>
      </c>
      <c r="B228" s="1" t="str">
        <f t="shared" si="10"/>
        <v/>
      </c>
      <c r="C228" s="1" t="str">
        <f t="shared" si="11"/>
        <v/>
      </c>
      <c r="D228" s="1" t="str">
        <f t="shared" si="12"/>
        <v/>
      </c>
      <c r="K228" s="1"/>
    </row>
    <row r="229" spans="1:11">
      <c r="A229" s="1" t="str">
        <f t="shared" si="9"/>
        <v/>
      </c>
      <c r="B229" s="1" t="str">
        <f t="shared" si="10"/>
        <v/>
      </c>
      <c r="C229" s="1" t="str">
        <f t="shared" si="11"/>
        <v/>
      </c>
      <c r="D229" s="1" t="str">
        <f t="shared" si="12"/>
        <v/>
      </c>
      <c r="K229" s="1"/>
    </row>
    <row r="230" spans="1:11">
      <c r="A230" s="1" t="str">
        <f t="shared" si="9"/>
        <v/>
      </c>
      <c r="B230" s="1" t="str">
        <f t="shared" si="10"/>
        <v/>
      </c>
      <c r="C230" s="1" t="str">
        <f t="shared" si="11"/>
        <v/>
      </c>
      <c r="D230" s="1" t="str">
        <f t="shared" si="12"/>
        <v/>
      </c>
      <c r="K230" s="1"/>
    </row>
    <row r="231" spans="1:11">
      <c r="A231" s="1" t="str">
        <f t="shared" si="9"/>
        <v/>
      </c>
      <c r="B231" s="1" t="str">
        <f t="shared" si="10"/>
        <v/>
      </c>
      <c r="C231" s="1" t="str">
        <f t="shared" si="11"/>
        <v/>
      </c>
      <c r="D231" s="1" t="str">
        <f t="shared" si="12"/>
        <v/>
      </c>
      <c r="K231" s="1"/>
    </row>
    <row r="232" spans="1:11">
      <c r="A232" s="1" t="str">
        <f t="shared" si="9"/>
        <v/>
      </c>
      <c r="B232" s="1" t="str">
        <f t="shared" si="10"/>
        <v/>
      </c>
      <c r="C232" s="1" t="str">
        <f t="shared" si="11"/>
        <v/>
      </c>
      <c r="D232" s="1" t="str">
        <f t="shared" si="12"/>
        <v/>
      </c>
      <c r="K232" s="1"/>
    </row>
    <row r="233" spans="1:11">
      <c r="A233" s="1" t="str">
        <f t="shared" si="9"/>
        <v/>
      </c>
      <c r="B233" s="1" t="str">
        <f t="shared" si="10"/>
        <v/>
      </c>
      <c r="C233" s="1" t="str">
        <f t="shared" si="11"/>
        <v/>
      </c>
      <c r="D233" s="1" t="str">
        <f t="shared" si="12"/>
        <v/>
      </c>
      <c r="K233" s="1"/>
    </row>
    <row r="234" spans="1:11">
      <c r="A234" s="1" t="str">
        <f t="shared" si="9"/>
        <v/>
      </c>
      <c r="B234" s="1" t="str">
        <f t="shared" si="10"/>
        <v/>
      </c>
      <c r="C234" s="1" t="str">
        <f t="shared" si="11"/>
        <v/>
      </c>
      <c r="D234" s="1" t="str">
        <f t="shared" si="12"/>
        <v/>
      </c>
      <c r="K234" s="1"/>
    </row>
    <row r="235" spans="1:11">
      <c r="A235" s="1" t="str">
        <f t="shared" si="9"/>
        <v/>
      </c>
      <c r="B235" s="1" t="str">
        <f t="shared" si="10"/>
        <v/>
      </c>
      <c r="C235" s="1" t="str">
        <f t="shared" si="11"/>
        <v/>
      </c>
      <c r="D235" s="1" t="str">
        <f t="shared" si="12"/>
        <v/>
      </c>
      <c r="K235" s="1"/>
    </row>
    <row r="236" spans="1:11">
      <c r="A236" s="1" t="str">
        <f t="shared" si="9"/>
        <v/>
      </c>
      <c r="B236" s="1" t="str">
        <f t="shared" si="10"/>
        <v/>
      </c>
      <c r="C236" s="1" t="str">
        <f t="shared" si="11"/>
        <v/>
      </c>
      <c r="D236" s="1" t="str">
        <f t="shared" si="12"/>
        <v/>
      </c>
      <c r="K236" s="1"/>
    </row>
    <row r="237" spans="1:11">
      <c r="A237" s="1" t="str">
        <f t="shared" si="9"/>
        <v/>
      </c>
      <c r="B237" s="1" t="str">
        <f t="shared" si="10"/>
        <v/>
      </c>
      <c r="C237" s="1" t="str">
        <f t="shared" si="11"/>
        <v/>
      </c>
      <c r="D237" s="1" t="str">
        <f t="shared" si="12"/>
        <v/>
      </c>
      <c r="K237" s="1"/>
    </row>
    <row r="238" spans="1:11">
      <c r="K238" s="1"/>
    </row>
    <row r="239" spans="1:11">
      <c r="K239" s="1"/>
    </row>
    <row r="240" spans="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  <row r="1009" spans="11:11">
      <c r="K1009" s="1"/>
    </row>
  </sheetData>
  <autoFilter ref="K1:K1012" xr:uid="{00000000-0009-0000-0000-000004000000}"/>
  <dataValidations count="1">
    <dataValidation type="list" allowBlank="1" showErrorMessage="1" sqref="K1:K159 K163:K1009" xr:uid="{00000000-0002-0000-0400-000000000000}">
      <formula1>"Assurances/Mutuelle,Bricolage/Travaux,Catégorie,Charges,Courses,Divers,Internet/Téléphone,Logement,Loisirs,Medical,Scolarité,Soins,Vêtements,Voiture/Déplacement,Cadeau"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11"/>
  <sheetViews>
    <sheetView workbookViewId="0"/>
  </sheetViews>
  <sheetFormatPr defaultColWidth="12.6640625" defaultRowHeight="15.75" customHeight="1"/>
  <cols>
    <col min="1" max="1" width="22.88671875" customWidth="1"/>
    <col min="2" max="2" width="31.21875" customWidth="1"/>
    <col min="5" max="5" width="24.109375" customWidth="1"/>
    <col min="7" max="7" width="28.77734375" customWidth="1"/>
    <col min="9" max="9" width="21.88671875" customWidth="1"/>
    <col min="11" max="11" width="29.21875" customWidth="1"/>
  </cols>
  <sheetData>
    <row r="1" spans="1:29">
      <c r="A1" s="1"/>
      <c r="B1" s="1" t="s">
        <v>27</v>
      </c>
      <c r="C1" s="1"/>
      <c r="D1" s="1"/>
      <c r="E1" s="1" t="s">
        <v>28</v>
      </c>
      <c r="K1" s="1" t="s">
        <v>29</v>
      </c>
    </row>
    <row r="2" spans="1:29">
      <c r="K2" s="1"/>
    </row>
    <row r="3" spans="1:29">
      <c r="A3" s="1"/>
      <c r="B3" s="1" t="s">
        <v>30</v>
      </c>
      <c r="C3" s="1">
        <v>5393.99</v>
      </c>
      <c r="E3" s="1" t="s">
        <v>31</v>
      </c>
      <c r="F3" s="1">
        <v>669.7</v>
      </c>
      <c r="G3" s="1" t="s">
        <v>32</v>
      </c>
      <c r="H3" s="1">
        <f t="shared" ref="H3:H6" si="0">IF(G3="x",F3,0)</f>
        <v>669.7</v>
      </c>
      <c r="K3" s="1" t="s">
        <v>25</v>
      </c>
    </row>
    <row r="4" spans="1:29">
      <c r="A4" s="1"/>
      <c r="B4" s="1" t="s">
        <v>33</v>
      </c>
      <c r="C4" s="1">
        <v>1828.73</v>
      </c>
      <c r="E4" s="1" t="s">
        <v>34</v>
      </c>
      <c r="H4" s="1">
        <f t="shared" si="0"/>
        <v>0</v>
      </c>
      <c r="K4" s="1" t="s">
        <v>26</v>
      </c>
    </row>
    <row r="5" spans="1:29">
      <c r="A5" s="1"/>
      <c r="B5" s="1" t="s">
        <v>35</v>
      </c>
      <c r="C5" s="1">
        <v>114.19</v>
      </c>
      <c r="E5" s="1" t="s">
        <v>36</v>
      </c>
      <c r="F5" s="1">
        <v>70</v>
      </c>
      <c r="G5" s="1" t="s">
        <v>32</v>
      </c>
      <c r="H5" s="1">
        <f t="shared" si="0"/>
        <v>70</v>
      </c>
      <c r="K5" s="1" t="s">
        <v>26</v>
      </c>
    </row>
    <row r="6" spans="1:29">
      <c r="E6" s="11" t="s">
        <v>37</v>
      </c>
      <c r="F6" s="10">
        <v>14.99</v>
      </c>
      <c r="G6" s="11" t="s">
        <v>32</v>
      </c>
      <c r="H6" s="1">
        <f t="shared" si="0"/>
        <v>14.99</v>
      </c>
      <c r="K6" s="1" t="s">
        <v>26</v>
      </c>
    </row>
    <row r="7" spans="1:29">
      <c r="A7" s="11"/>
      <c r="D7" s="11"/>
      <c r="E7" s="1" t="s">
        <v>38</v>
      </c>
      <c r="F7" s="1">
        <v>995.15</v>
      </c>
      <c r="G7" s="11" t="s">
        <v>32</v>
      </c>
      <c r="H7" s="10">
        <f>IF(G7="x",F7,0)</f>
        <v>995.15</v>
      </c>
      <c r="I7" s="11"/>
      <c r="J7" s="11"/>
      <c r="K7" s="1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E8" s="1" t="s">
        <v>40</v>
      </c>
      <c r="F8" s="1">
        <v>883.42</v>
      </c>
      <c r="G8" s="1" t="s">
        <v>32</v>
      </c>
      <c r="H8" s="1">
        <f t="shared" ref="H8:H21" si="1">IF(G8="x",F8,0)</f>
        <v>883.42</v>
      </c>
      <c r="K8" s="1" t="s">
        <v>25</v>
      </c>
    </row>
    <row r="9" spans="1:29">
      <c r="B9" s="11" t="s">
        <v>99</v>
      </c>
      <c r="C9" s="11">
        <v>27.06</v>
      </c>
      <c r="E9" s="1" t="s">
        <v>42</v>
      </c>
      <c r="F9" s="1">
        <v>11.46</v>
      </c>
      <c r="G9" s="1" t="s">
        <v>32</v>
      </c>
      <c r="H9" s="1">
        <f t="shared" si="1"/>
        <v>11.46</v>
      </c>
      <c r="K9" s="1" t="s">
        <v>25</v>
      </c>
    </row>
    <row r="10" spans="1:29">
      <c r="B10" s="1" t="s">
        <v>100</v>
      </c>
      <c r="C10" s="1">
        <v>742</v>
      </c>
      <c r="E10" s="1" t="s">
        <v>42</v>
      </c>
      <c r="F10" s="1">
        <v>32.57</v>
      </c>
      <c r="G10" s="1" t="s">
        <v>32</v>
      </c>
      <c r="H10" s="1">
        <f t="shared" si="1"/>
        <v>32.57</v>
      </c>
      <c r="K10" s="1" t="s">
        <v>25</v>
      </c>
    </row>
    <row r="11" spans="1:29">
      <c r="B11" s="1" t="s">
        <v>100</v>
      </c>
      <c r="C11" s="1">
        <v>520</v>
      </c>
      <c r="E11" s="1" t="s">
        <v>42</v>
      </c>
      <c r="F11" s="1">
        <v>79.98</v>
      </c>
      <c r="G11" s="1" t="s">
        <v>32</v>
      </c>
      <c r="H11" s="1">
        <f t="shared" si="1"/>
        <v>79.98</v>
      </c>
      <c r="K11" s="1" t="s">
        <v>25</v>
      </c>
    </row>
    <row r="12" spans="1:29">
      <c r="B12" s="1" t="s">
        <v>101</v>
      </c>
      <c r="C12" s="1">
        <v>264.08999999999997</v>
      </c>
      <c r="E12" s="1" t="s">
        <v>42</v>
      </c>
      <c r="F12" s="1">
        <v>28.49</v>
      </c>
      <c r="G12" s="1" t="s">
        <v>32</v>
      </c>
      <c r="H12" s="1">
        <f t="shared" si="1"/>
        <v>28.49</v>
      </c>
      <c r="K12" s="1" t="s">
        <v>25</v>
      </c>
    </row>
    <row r="13" spans="1:29">
      <c r="B13" s="1" t="s">
        <v>102</v>
      </c>
      <c r="C13" s="1">
        <v>789.8</v>
      </c>
      <c r="E13" s="1" t="s">
        <v>43</v>
      </c>
      <c r="F13" s="1">
        <v>6.99</v>
      </c>
      <c r="G13" s="1" t="s">
        <v>32</v>
      </c>
      <c r="H13" s="1">
        <f t="shared" si="1"/>
        <v>6.99</v>
      </c>
      <c r="K13" s="1" t="s">
        <v>44</v>
      </c>
    </row>
    <row r="14" spans="1:29">
      <c r="B14" s="1" t="s">
        <v>103</v>
      </c>
      <c r="C14" s="1">
        <v>523.70000000000005</v>
      </c>
      <c r="E14" s="1" t="s">
        <v>45</v>
      </c>
      <c r="F14" s="1">
        <v>65</v>
      </c>
      <c r="H14" s="1">
        <f t="shared" si="1"/>
        <v>0</v>
      </c>
      <c r="K14" s="1" t="s">
        <v>26</v>
      </c>
    </row>
    <row r="15" spans="1:29">
      <c r="B15" s="1" t="s">
        <v>104</v>
      </c>
      <c r="C15" s="1">
        <v>726.96</v>
      </c>
      <c r="E15" s="1" t="s">
        <v>46</v>
      </c>
      <c r="F15" s="1">
        <v>208</v>
      </c>
      <c r="G15" s="1" t="s">
        <v>32</v>
      </c>
      <c r="H15" s="1">
        <f t="shared" si="1"/>
        <v>208</v>
      </c>
      <c r="K15" s="1" t="s">
        <v>26</v>
      </c>
    </row>
    <row r="16" spans="1:29">
      <c r="E16" s="1" t="s">
        <v>47</v>
      </c>
      <c r="F16" s="1">
        <v>24.99</v>
      </c>
      <c r="G16" s="1" t="s">
        <v>32</v>
      </c>
      <c r="H16" s="1">
        <f t="shared" si="1"/>
        <v>24.99</v>
      </c>
      <c r="K16" s="1" t="s">
        <v>44</v>
      </c>
    </row>
    <row r="17" spans="1:29">
      <c r="H17" s="1">
        <f t="shared" si="1"/>
        <v>0</v>
      </c>
      <c r="K17" s="1" t="s">
        <v>44</v>
      </c>
    </row>
    <row r="18" spans="1:29">
      <c r="E18" s="1" t="s">
        <v>48</v>
      </c>
      <c r="F18" s="1">
        <v>14.99</v>
      </c>
      <c r="G18" s="1" t="s">
        <v>32</v>
      </c>
      <c r="H18" s="1">
        <f t="shared" si="1"/>
        <v>14.99</v>
      </c>
      <c r="K18" s="1" t="s">
        <v>44</v>
      </c>
    </row>
    <row r="19" spans="1:29">
      <c r="E19" s="1" t="s">
        <v>49</v>
      </c>
      <c r="F19" s="1">
        <v>14.99</v>
      </c>
      <c r="G19" s="1" t="s">
        <v>32</v>
      </c>
      <c r="H19" s="1">
        <f t="shared" si="1"/>
        <v>14.99</v>
      </c>
      <c r="K19" s="1" t="s">
        <v>44</v>
      </c>
    </row>
    <row r="20" spans="1:29">
      <c r="E20" s="1" t="s">
        <v>50</v>
      </c>
      <c r="F20" s="1">
        <v>10.99</v>
      </c>
      <c r="G20" s="1" t="s">
        <v>32</v>
      </c>
      <c r="H20" s="1">
        <f t="shared" si="1"/>
        <v>10.99</v>
      </c>
      <c r="K20" s="1" t="s">
        <v>44</v>
      </c>
    </row>
    <row r="21" spans="1:29">
      <c r="E21" s="1" t="s">
        <v>51</v>
      </c>
      <c r="F21" s="1">
        <v>104.98</v>
      </c>
      <c r="G21" s="1" t="s">
        <v>32</v>
      </c>
      <c r="H21" s="1">
        <f t="shared" si="1"/>
        <v>104.98</v>
      </c>
      <c r="K21" s="1" t="s">
        <v>52</v>
      </c>
    </row>
    <row r="22" spans="1:29">
      <c r="K22" s="1"/>
    </row>
    <row r="23" spans="1:29">
      <c r="E23" s="1" t="s">
        <v>53</v>
      </c>
      <c r="F23" s="1">
        <v>62.88</v>
      </c>
      <c r="G23" s="1" t="s">
        <v>32</v>
      </c>
      <c r="H23" s="1">
        <f t="shared" ref="H23:H29" si="2">IF(G23="x",F23,0)</f>
        <v>62.88</v>
      </c>
      <c r="K23" s="1" t="s">
        <v>52</v>
      </c>
    </row>
    <row r="24" spans="1:29">
      <c r="E24" s="1" t="s">
        <v>105</v>
      </c>
      <c r="F24" s="1">
        <v>331.65</v>
      </c>
      <c r="G24" s="1" t="s">
        <v>32</v>
      </c>
      <c r="H24" s="1">
        <f t="shared" si="2"/>
        <v>331.65</v>
      </c>
      <c r="K24" s="1" t="s">
        <v>55</v>
      </c>
    </row>
    <row r="25" spans="1:29">
      <c r="E25" s="1" t="s">
        <v>56</v>
      </c>
      <c r="F25" s="1">
        <v>88.03</v>
      </c>
      <c r="G25" s="1" t="s">
        <v>32</v>
      </c>
      <c r="H25" s="1">
        <f t="shared" si="2"/>
        <v>88.03</v>
      </c>
      <c r="K25" s="1" t="s">
        <v>52</v>
      </c>
    </row>
    <row r="26" spans="1:29">
      <c r="E26" s="1" t="s">
        <v>57</v>
      </c>
      <c r="F26" s="1">
        <v>18.989999999999998</v>
      </c>
      <c r="G26" s="1" t="s">
        <v>32</v>
      </c>
      <c r="H26" s="1">
        <f t="shared" si="2"/>
        <v>18.989999999999998</v>
      </c>
      <c r="K26" s="1" t="s">
        <v>52</v>
      </c>
    </row>
    <row r="27" spans="1:29">
      <c r="E27" s="1" t="s">
        <v>58</v>
      </c>
      <c r="F27" s="1">
        <v>20</v>
      </c>
      <c r="G27" s="1" t="s">
        <v>32</v>
      </c>
      <c r="H27" s="1">
        <f t="shared" si="2"/>
        <v>20</v>
      </c>
      <c r="K27" s="1" t="s">
        <v>59</v>
      </c>
    </row>
    <row r="28" spans="1:29">
      <c r="E28" s="1" t="s">
        <v>60</v>
      </c>
      <c r="F28" s="1">
        <v>21.99</v>
      </c>
      <c r="G28" s="1" t="s">
        <v>32</v>
      </c>
      <c r="H28" s="1">
        <f t="shared" si="2"/>
        <v>21.99</v>
      </c>
      <c r="K28" s="1" t="s">
        <v>44</v>
      </c>
    </row>
    <row r="29" spans="1:29">
      <c r="H29" s="1">
        <f t="shared" si="2"/>
        <v>0</v>
      </c>
      <c r="K29" s="1" t="s">
        <v>55</v>
      </c>
    </row>
    <row r="30" spans="1:29">
      <c r="E30" s="1" t="s">
        <v>61</v>
      </c>
      <c r="F30" s="1">
        <v>21.4</v>
      </c>
      <c r="G30" s="11" t="s">
        <v>32</v>
      </c>
      <c r="H30" s="10">
        <f>IF(G30="x",F30,0)</f>
        <v>21.4</v>
      </c>
      <c r="K30" s="1" t="s">
        <v>55</v>
      </c>
    </row>
    <row r="31" spans="1:29">
      <c r="E31" s="11" t="s">
        <v>62</v>
      </c>
      <c r="F31" s="10">
        <v>0.99</v>
      </c>
      <c r="G31" s="1" t="s">
        <v>32</v>
      </c>
      <c r="H31" s="1">
        <f t="shared" ref="H31:H38" si="3">IF(G31="x",F31,0)</f>
        <v>0.99</v>
      </c>
      <c r="K31" s="1" t="s">
        <v>44</v>
      </c>
    </row>
    <row r="32" spans="1:29">
      <c r="A32" s="11"/>
      <c r="B32" s="11"/>
      <c r="C32" s="11"/>
      <c r="D32" s="11"/>
      <c r="E32" s="1" t="s">
        <v>62</v>
      </c>
      <c r="F32" s="1">
        <v>0.99</v>
      </c>
      <c r="G32" s="1" t="s">
        <v>32</v>
      </c>
      <c r="H32" s="1">
        <f t="shared" si="3"/>
        <v>0.99</v>
      </c>
      <c r="I32" s="11"/>
      <c r="J32" s="11"/>
      <c r="K32" s="1" t="s">
        <v>44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A33" s="11"/>
      <c r="B33" s="11"/>
      <c r="C33" s="11"/>
      <c r="D33" s="11"/>
      <c r="E33" s="1" t="s">
        <v>62</v>
      </c>
      <c r="F33" s="1">
        <v>16.989999999999998</v>
      </c>
      <c r="G33" s="1" t="s">
        <v>32</v>
      </c>
      <c r="H33" s="1">
        <f t="shared" si="3"/>
        <v>16.989999999999998</v>
      </c>
      <c r="I33" s="11"/>
      <c r="J33" s="11"/>
      <c r="K33" s="1" t="s">
        <v>44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E34" s="1" t="s">
        <v>106</v>
      </c>
      <c r="F34" s="1">
        <v>278.3</v>
      </c>
      <c r="H34" s="1">
        <f t="shared" si="3"/>
        <v>0</v>
      </c>
      <c r="I34" s="11"/>
      <c r="J34" s="11"/>
      <c r="K34" s="1" t="s">
        <v>64</v>
      </c>
    </row>
    <row r="35" spans="1:29">
      <c r="A35" s="1"/>
      <c r="E35" s="1" t="s">
        <v>65</v>
      </c>
      <c r="F35" s="1">
        <v>170</v>
      </c>
      <c r="H35" s="1">
        <f t="shared" si="3"/>
        <v>0</v>
      </c>
      <c r="K35" s="1" t="s">
        <v>25</v>
      </c>
    </row>
    <row r="36" spans="1:29">
      <c r="A36" s="1"/>
      <c r="C36" s="1"/>
      <c r="E36" s="1" t="s">
        <v>66</v>
      </c>
      <c r="F36" s="1">
        <v>129.86000000000001</v>
      </c>
      <c r="G36" s="1" t="s">
        <v>32</v>
      </c>
      <c r="H36" s="1">
        <f t="shared" si="3"/>
        <v>129.86000000000001</v>
      </c>
      <c r="K36" s="1" t="s">
        <v>25</v>
      </c>
    </row>
    <row r="37" spans="1:29">
      <c r="A37" s="1"/>
      <c r="C37" s="1"/>
      <c r="E37" s="1" t="s">
        <v>67</v>
      </c>
      <c r="F37" s="1">
        <v>19.03</v>
      </c>
      <c r="G37" s="1" t="s">
        <v>32</v>
      </c>
      <c r="H37" s="1">
        <f t="shared" si="3"/>
        <v>19.03</v>
      </c>
      <c r="K37" s="1" t="s">
        <v>26</v>
      </c>
    </row>
    <row r="38" spans="1:29">
      <c r="A38" s="1"/>
      <c r="C38" s="1"/>
      <c r="E38" s="1" t="s">
        <v>68</v>
      </c>
      <c r="F38" s="1">
        <v>33.89</v>
      </c>
      <c r="G38" s="1" t="s">
        <v>32</v>
      </c>
      <c r="H38" s="1">
        <f t="shared" si="3"/>
        <v>33.89</v>
      </c>
      <c r="K38" s="1" t="s">
        <v>26</v>
      </c>
    </row>
    <row r="39" spans="1:29">
      <c r="A39" s="1" t="s">
        <v>69</v>
      </c>
      <c r="C39" s="1" t="e">
        <f>'Juillet 2026'!D43</f>
        <v>#REF!</v>
      </c>
      <c r="K39" s="1"/>
    </row>
    <row r="40" spans="1:29">
      <c r="A40" s="1" t="s">
        <v>70</v>
      </c>
      <c r="C40" s="1">
        <f>SUM(C2:C6)</f>
        <v>7336.9099999999989</v>
      </c>
      <c r="E40" s="1" t="s">
        <v>71</v>
      </c>
      <c r="F40" s="1">
        <f>SUM(F2:F38)</f>
        <v>4451.6799999999985</v>
      </c>
      <c r="G40" s="1" t="s">
        <v>72</v>
      </c>
      <c r="H40" s="1">
        <f>SUM(H2:H38)</f>
        <v>3938.3799999999987</v>
      </c>
      <c r="I40" s="1" t="s">
        <v>73</v>
      </c>
      <c r="K40" s="1"/>
    </row>
    <row r="41" spans="1:29">
      <c r="A41" s="1" t="s">
        <v>74</v>
      </c>
      <c r="C41" s="1">
        <f>SUM(C8:C35)</f>
        <v>3593.6099999999997</v>
      </c>
      <c r="E41" s="1" t="s">
        <v>75</v>
      </c>
      <c r="F41" s="1" t="e">
        <f>C42-F40</f>
        <v>#REF!</v>
      </c>
      <c r="G41" s="1" t="s">
        <v>76</v>
      </c>
      <c r="H41" s="1" t="e">
        <f>C39+C40+C41-H40-F42</f>
        <v>#REF!</v>
      </c>
      <c r="K41" s="1"/>
    </row>
    <row r="42" spans="1:29">
      <c r="A42" s="1" t="s">
        <v>77</v>
      </c>
      <c r="C42" s="1" t="e">
        <f>SUM(C39:C41)</f>
        <v>#REF!</v>
      </c>
      <c r="E42" s="1" t="s">
        <v>78</v>
      </c>
      <c r="F42" s="1">
        <f>SUM(J44:J249)</f>
        <v>7214.4699999999984</v>
      </c>
      <c r="K42" s="1"/>
    </row>
    <row r="43" spans="1:29" ht="15.75" customHeight="1">
      <c r="A43" s="12" t="s">
        <v>79</v>
      </c>
      <c r="B43" s="12" t="e">
        <f>$C$42-$F$40-$F$42</f>
        <v>#REF!</v>
      </c>
      <c r="C43" s="1" t="s">
        <v>80</v>
      </c>
      <c r="D43" s="1" t="e">
        <f>$C$42-$H$40-$F$42</f>
        <v>#REF!</v>
      </c>
      <c r="K43" s="1"/>
    </row>
    <row r="44" spans="1:29">
      <c r="A44" s="1" t="str">
        <f>IF(AND(NOT(ISBLANK(#REF!)),ISBLANK(G44)),"Reste prévu","")</f>
        <v>Reste prévu</v>
      </c>
      <c r="B44" s="1" t="e">
        <f>IF(AND(NOT(ISBLANK(#REF!)),ISBLANK($G44)),$C$42-$F$40-$F$42,"")</f>
        <v>#REF!</v>
      </c>
      <c r="C44" s="1" t="str">
        <f>IF(AND(NOT(ISBLANK(#REF!)),ISBLANK($G44)),"Reste réel","")</f>
        <v>Reste réel</v>
      </c>
      <c r="D44" s="1" t="e">
        <f>IF(AND(NOT(ISBLANK(#REF!)),ISBLANK($G44)),$C$42-$H$40-$F$42,"")</f>
        <v>#REF!</v>
      </c>
      <c r="J44" s="13">
        <f t="shared" ref="J44:J216" si="4">IF(I44="x",H44,0)</f>
        <v>0</v>
      </c>
      <c r="K44" s="1" t="s">
        <v>98</v>
      </c>
    </row>
    <row r="45" spans="1:29">
      <c r="A45" s="1" t="str">
        <f t="shared" ref="A45:A78" si="5">IF(AND(NOT(ISBLANK(G44)),ISBLANK(G45)),"Reste prévu","")</f>
        <v/>
      </c>
      <c r="B45" s="1" t="str">
        <f t="shared" ref="B45:B78" si="6">IF(AND(NOT(ISBLANK($G44)),ISBLANK($G45)),$C$42-$F$40-$F$42,"")</f>
        <v/>
      </c>
      <c r="C45" s="1" t="str">
        <f t="shared" ref="C45:C78" si="7">IF(AND(NOT(ISBLANK($G44)),ISBLANK($G45)),"Reste réel","")</f>
        <v/>
      </c>
      <c r="D45" s="1" t="str">
        <f t="shared" ref="D45:D78" si="8">IF(AND(NOT(ISBLANK($G44)),ISBLANK($G45)),$C$42-$H$40-$F$42,"")</f>
        <v/>
      </c>
      <c r="G45" s="1" t="s">
        <v>107</v>
      </c>
      <c r="H45" s="1">
        <v>146</v>
      </c>
      <c r="I45" s="1" t="s">
        <v>32</v>
      </c>
      <c r="J45" s="13">
        <f t="shared" si="4"/>
        <v>146</v>
      </c>
      <c r="K45" s="1" t="s">
        <v>83</v>
      </c>
    </row>
    <row r="46" spans="1:29">
      <c r="A46" s="1" t="str">
        <f t="shared" si="5"/>
        <v/>
      </c>
      <c r="B46" s="1" t="str">
        <f t="shared" si="6"/>
        <v/>
      </c>
      <c r="C46" s="1" t="str">
        <f t="shared" si="7"/>
        <v/>
      </c>
      <c r="D46" s="1" t="str">
        <f t="shared" si="8"/>
        <v/>
      </c>
      <c r="G46" s="1" t="s">
        <v>108</v>
      </c>
      <c r="H46" s="1">
        <v>21.9</v>
      </c>
      <c r="I46" s="1" t="s">
        <v>32</v>
      </c>
      <c r="J46" s="13">
        <f t="shared" si="4"/>
        <v>21.9</v>
      </c>
      <c r="K46" s="1" t="s">
        <v>83</v>
      </c>
    </row>
    <row r="47" spans="1:29">
      <c r="A47" s="1" t="str">
        <f t="shared" si="5"/>
        <v/>
      </c>
      <c r="B47" s="1" t="str">
        <f t="shared" si="6"/>
        <v/>
      </c>
      <c r="C47" s="1" t="str">
        <f t="shared" si="7"/>
        <v/>
      </c>
      <c r="D47" s="1" t="str">
        <f t="shared" si="8"/>
        <v/>
      </c>
      <c r="G47" s="1" t="s">
        <v>109</v>
      </c>
      <c r="H47" s="1">
        <v>14</v>
      </c>
      <c r="I47" s="1" t="s">
        <v>32</v>
      </c>
      <c r="J47" s="13">
        <f t="shared" si="4"/>
        <v>14</v>
      </c>
      <c r="K47" s="1" t="s">
        <v>98</v>
      </c>
    </row>
    <row r="48" spans="1:29">
      <c r="A48" s="1" t="str">
        <f t="shared" si="5"/>
        <v/>
      </c>
      <c r="B48" s="1" t="str">
        <f t="shared" si="6"/>
        <v/>
      </c>
      <c r="C48" s="1" t="str">
        <f t="shared" si="7"/>
        <v/>
      </c>
      <c r="D48" s="1" t="str">
        <f t="shared" si="8"/>
        <v/>
      </c>
      <c r="G48" s="1" t="s">
        <v>110</v>
      </c>
      <c r="H48" s="1">
        <v>25</v>
      </c>
      <c r="I48" s="1" t="s">
        <v>32</v>
      </c>
      <c r="J48" s="13">
        <f t="shared" si="4"/>
        <v>25</v>
      </c>
      <c r="K48" s="1" t="s">
        <v>83</v>
      </c>
    </row>
    <row r="49" spans="1:11">
      <c r="A49" s="1" t="str">
        <f t="shared" si="5"/>
        <v/>
      </c>
      <c r="B49" s="1" t="str">
        <f t="shared" si="6"/>
        <v/>
      </c>
      <c r="C49" s="1" t="str">
        <f t="shared" si="7"/>
        <v/>
      </c>
      <c r="D49" s="1" t="str">
        <f t="shared" si="8"/>
        <v/>
      </c>
      <c r="G49" s="1" t="s">
        <v>111</v>
      </c>
      <c r="H49" s="1">
        <v>13.2</v>
      </c>
      <c r="I49" s="1" t="s">
        <v>32</v>
      </c>
      <c r="J49" s="13">
        <f t="shared" si="4"/>
        <v>13.2</v>
      </c>
      <c r="K49" s="1" t="s">
        <v>24</v>
      </c>
    </row>
    <row r="50" spans="1:11">
      <c r="A50" s="1" t="str">
        <f t="shared" si="5"/>
        <v/>
      </c>
      <c r="B50" s="1" t="str">
        <f t="shared" si="6"/>
        <v/>
      </c>
      <c r="C50" s="1" t="str">
        <f t="shared" si="7"/>
        <v/>
      </c>
      <c r="D50" s="1" t="str">
        <f t="shared" si="8"/>
        <v/>
      </c>
      <c r="G50" s="1" t="s">
        <v>87</v>
      </c>
      <c r="H50" s="1">
        <v>48.21</v>
      </c>
      <c r="I50" s="1" t="s">
        <v>32</v>
      </c>
      <c r="J50" s="13">
        <f t="shared" si="4"/>
        <v>48.21</v>
      </c>
      <c r="K50" s="1" t="s">
        <v>24</v>
      </c>
    </row>
    <row r="51" spans="1:11">
      <c r="A51" s="1" t="str">
        <f t="shared" si="5"/>
        <v/>
      </c>
      <c r="B51" s="1" t="str">
        <f t="shared" si="6"/>
        <v/>
      </c>
      <c r="C51" s="1" t="str">
        <f t="shared" si="7"/>
        <v/>
      </c>
      <c r="D51" s="1" t="str">
        <f t="shared" si="8"/>
        <v/>
      </c>
      <c r="G51" s="1" t="s">
        <v>112</v>
      </c>
      <c r="H51" s="1">
        <v>23.85</v>
      </c>
      <c r="I51" s="1" t="s">
        <v>32</v>
      </c>
      <c r="J51" s="13">
        <f t="shared" si="4"/>
        <v>23.85</v>
      </c>
      <c r="K51" s="1" t="s">
        <v>89</v>
      </c>
    </row>
    <row r="52" spans="1:11">
      <c r="A52" s="1" t="str">
        <f t="shared" si="5"/>
        <v/>
      </c>
      <c r="B52" s="1" t="str">
        <f t="shared" si="6"/>
        <v/>
      </c>
      <c r="C52" s="1" t="str">
        <f t="shared" si="7"/>
        <v/>
      </c>
      <c r="D52" s="1" t="str">
        <f t="shared" si="8"/>
        <v/>
      </c>
      <c r="G52" s="1" t="s">
        <v>113</v>
      </c>
      <c r="H52" s="1">
        <v>8.76</v>
      </c>
      <c r="I52" s="1" t="s">
        <v>32</v>
      </c>
      <c r="J52" s="13">
        <f t="shared" si="4"/>
        <v>8.76</v>
      </c>
      <c r="K52" s="1" t="s">
        <v>55</v>
      </c>
    </row>
    <row r="53" spans="1:11">
      <c r="A53" s="1" t="str">
        <f t="shared" si="5"/>
        <v/>
      </c>
      <c r="B53" s="1" t="str">
        <f t="shared" si="6"/>
        <v/>
      </c>
      <c r="C53" s="1" t="str">
        <f t="shared" si="7"/>
        <v/>
      </c>
      <c r="D53" s="1" t="str">
        <f t="shared" si="8"/>
        <v/>
      </c>
      <c r="G53" s="1" t="s">
        <v>84</v>
      </c>
      <c r="H53" s="1">
        <v>78.7</v>
      </c>
      <c r="I53" s="1" t="s">
        <v>32</v>
      </c>
      <c r="J53" s="13">
        <f t="shared" si="4"/>
        <v>78.7</v>
      </c>
      <c r="K53" s="1" t="s">
        <v>85</v>
      </c>
    </row>
    <row r="54" spans="1:11">
      <c r="A54" s="1" t="str">
        <f t="shared" si="5"/>
        <v/>
      </c>
      <c r="B54" s="1" t="str">
        <f t="shared" si="6"/>
        <v/>
      </c>
      <c r="C54" s="1" t="str">
        <f t="shared" si="7"/>
        <v/>
      </c>
      <c r="D54" s="1" t="str">
        <f t="shared" si="8"/>
        <v/>
      </c>
      <c r="G54" s="1" t="s">
        <v>114</v>
      </c>
      <c r="H54" s="1">
        <v>60.91</v>
      </c>
      <c r="I54" s="1" t="s">
        <v>32</v>
      </c>
      <c r="J54" s="13">
        <f t="shared" si="4"/>
        <v>60.91</v>
      </c>
      <c r="K54" s="1" t="s">
        <v>89</v>
      </c>
    </row>
    <row r="55" spans="1:11">
      <c r="A55" s="1" t="str">
        <f t="shared" si="5"/>
        <v/>
      </c>
      <c r="B55" s="1" t="str">
        <f t="shared" si="6"/>
        <v/>
      </c>
      <c r="C55" s="1" t="str">
        <f t="shared" si="7"/>
        <v/>
      </c>
      <c r="D55" s="1" t="str">
        <f t="shared" si="8"/>
        <v/>
      </c>
      <c r="G55" s="1" t="s">
        <v>112</v>
      </c>
      <c r="H55" s="1">
        <v>11.9</v>
      </c>
      <c r="I55" s="1" t="s">
        <v>32</v>
      </c>
      <c r="J55" s="13">
        <f t="shared" si="4"/>
        <v>11.9</v>
      </c>
      <c r="K55" s="1" t="s">
        <v>89</v>
      </c>
    </row>
    <row r="56" spans="1:11">
      <c r="A56" s="1" t="str">
        <f t="shared" si="5"/>
        <v/>
      </c>
      <c r="B56" s="1" t="str">
        <f t="shared" si="6"/>
        <v/>
      </c>
      <c r="C56" s="1" t="str">
        <f t="shared" si="7"/>
        <v/>
      </c>
      <c r="D56" s="1" t="str">
        <f t="shared" si="8"/>
        <v/>
      </c>
      <c r="G56" s="1" t="s">
        <v>115</v>
      </c>
      <c r="H56" s="1">
        <v>13</v>
      </c>
      <c r="I56" s="1" t="s">
        <v>32</v>
      </c>
      <c r="J56" s="13">
        <f t="shared" si="4"/>
        <v>13</v>
      </c>
      <c r="K56" s="1" t="s">
        <v>59</v>
      </c>
    </row>
    <row r="57" spans="1:11">
      <c r="A57" s="1" t="str">
        <f t="shared" si="5"/>
        <v/>
      </c>
      <c r="B57" s="1" t="str">
        <f t="shared" si="6"/>
        <v/>
      </c>
      <c r="C57" s="1" t="str">
        <f t="shared" si="7"/>
        <v/>
      </c>
      <c r="D57" s="1" t="str">
        <f t="shared" si="8"/>
        <v/>
      </c>
      <c r="G57" s="1" t="s">
        <v>116</v>
      </c>
      <c r="H57" s="1">
        <v>23.1</v>
      </c>
      <c r="I57" s="1" t="s">
        <v>32</v>
      </c>
      <c r="J57" s="13">
        <f t="shared" si="4"/>
        <v>23.1</v>
      </c>
      <c r="K57" s="1" t="s">
        <v>83</v>
      </c>
    </row>
    <row r="58" spans="1:11">
      <c r="A58" s="1" t="str">
        <f t="shared" si="5"/>
        <v/>
      </c>
      <c r="B58" s="1" t="str">
        <f t="shared" si="6"/>
        <v/>
      </c>
      <c r="C58" s="1" t="str">
        <f t="shared" si="7"/>
        <v/>
      </c>
      <c r="D58" s="1" t="str">
        <f t="shared" si="8"/>
        <v/>
      </c>
      <c r="G58" s="1" t="s">
        <v>81</v>
      </c>
      <c r="H58" s="1">
        <v>185.35</v>
      </c>
      <c r="I58" s="1" t="s">
        <v>32</v>
      </c>
      <c r="J58" s="13">
        <f t="shared" si="4"/>
        <v>185.35</v>
      </c>
      <c r="K58" s="1" t="s">
        <v>89</v>
      </c>
    </row>
    <row r="59" spans="1:11">
      <c r="A59" s="1" t="str">
        <f t="shared" si="5"/>
        <v/>
      </c>
      <c r="B59" s="1" t="str">
        <f t="shared" si="6"/>
        <v/>
      </c>
      <c r="C59" s="1" t="str">
        <f t="shared" si="7"/>
        <v/>
      </c>
      <c r="D59" s="1" t="str">
        <f t="shared" si="8"/>
        <v/>
      </c>
      <c r="G59" s="1" t="s">
        <v>114</v>
      </c>
      <c r="H59" s="1">
        <v>335.93</v>
      </c>
      <c r="I59" s="1" t="s">
        <v>32</v>
      </c>
      <c r="J59" s="13">
        <f t="shared" si="4"/>
        <v>335.93</v>
      </c>
      <c r="K59" s="1" t="s">
        <v>89</v>
      </c>
    </row>
    <row r="60" spans="1:11">
      <c r="A60" s="1" t="str">
        <f t="shared" si="5"/>
        <v/>
      </c>
      <c r="B60" s="1" t="str">
        <f t="shared" si="6"/>
        <v/>
      </c>
      <c r="C60" s="1" t="str">
        <f t="shared" si="7"/>
        <v/>
      </c>
      <c r="D60" s="1" t="str">
        <f t="shared" si="8"/>
        <v/>
      </c>
      <c r="G60" s="1" t="s">
        <v>86</v>
      </c>
      <c r="H60" s="1">
        <v>36.29</v>
      </c>
      <c r="I60" s="1" t="s">
        <v>32</v>
      </c>
      <c r="J60" s="13">
        <f t="shared" si="4"/>
        <v>36.29</v>
      </c>
      <c r="K60" s="1" t="s">
        <v>24</v>
      </c>
    </row>
    <row r="61" spans="1:11">
      <c r="A61" s="1" t="str">
        <f t="shared" si="5"/>
        <v/>
      </c>
      <c r="B61" s="1" t="str">
        <f t="shared" si="6"/>
        <v/>
      </c>
      <c r="C61" s="1" t="str">
        <f t="shared" si="7"/>
        <v/>
      </c>
      <c r="D61" s="1" t="str">
        <f t="shared" si="8"/>
        <v/>
      </c>
      <c r="G61" s="1" t="s">
        <v>86</v>
      </c>
      <c r="H61" s="1">
        <v>279</v>
      </c>
      <c r="I61" s="1" t="s">
        <v>32</v>
      </c>
      <c r="J61" s="13">
        <f t="shared" si="4"/>
        <v>279</v>
      </c>
      <c r="K61" s="1" t="s">
        <v>89</v>
      </c>
    </row>
    <row r="62" spans="1:11">
      <c r="A62" s="1" t="str">
        <f t="shared" si="5"/>
        <v/>
      </c>
      <c r="B62" s="1" t="str">
        <f t="shared" si="6"/>
        <v/>
      </c>
      <c r="C62" s="1" t="str">
        <f t="shared" si="7"/>
        <v/>
      </c>
      <c r="D62" s="1" t="str">
        <f t="shared" si="8"/>
        <v/>
      </c>
      <c r="G62" s="1" t="s">
        <v>87</v>
      </c>
      <c r="H62" s="1">
        <v>182.67</v>
      </c>
      <c r="I62" s="1" t="s">
        <v>32</v>
      </c>
      <c r="J62" s="13">
        <f t="shared" si="4"/>
        <v>182.67</v>
      </c>
      <c r="K62" s="1" t="s">
        <v>24</v>
      </c>
    </row>
    <row r="63" spans="1:11">
      <c r="A63" s="1" t="str">
        <f t="shared" si="5"/>
        <v/>
      </c>
      <c r="B63" s="1" t="str">
        <f t="shared" si="6"/>
        <v/>
      </c>
      <c r="C63" s="1" t="str">
        <f t="shared" si="7"/>
        <v/>
      </c>
      <c r="D63" s="1" t="str">
        <f t="shared" si="8"/>
        <v/>
      </c>
      <c r="G63" s="1" t="s">
        <v>117</v>
      </c>
      <c r="H63" s="1">
        <v>35</v>
      </c>
      <c r="I63" s="1" t="s">
        <v>32</v>
      </c>
      <c r="J63" s="13">
        <f t="shared" si="4"/>
        <v>35</v>
      </c>
      <c r="K63" s="1" t="s">
        <v>24</v>
      </c>
    </row>
    <row r="64" spans="1:11">
      <c r="A64" s="1" t="str">
        <f t="shared" si="5"/>
        <v/>
      </c>
      <c r="B64" s="1" t="str">
        <f t="shared" si="6"/>
        <v/>
      </c>
      <c r="C64" s="1" t="str">
        <f t="shared" si="7"/>
        <v/>
      </c>
      <c r="D64" s="1" t="str">
        <f t="shared" si="8"/>
        <v/>
      </c>
      <c r="G64" s="1" t="s">
        <v>117</v>
      </c>
      <c r="H64" s="1">
        <v>40</v>
      </c>
      <c r="I64" s="1" t="s">
        <v>32</v>
      </c>
      <c r="J64" s="13">
        <f t="shared" si="4"/>
        <v>40</v>
      </c>
      <c r="K64" s="1" t="s">
        <v>24</v>
      </c>
    </row>
    <row r="65" spans="1:11">
      <c r="A65" s="1" t="str">
        <f t="shared" si="5"/>
        <v/>
      </c>
      <c r="B65" s="1" t="str">
        <f t="shared" si="6"/>
        <v/>
      </c>
      <c r="C65" s="1" t="str">
        <f t="shared" si="7"/>
        <v/>
      </c>
      <c r="D65" s="1" t="str">
        <f t="shared" si="8"/>
        <v/>
      </c>
      <c r="G65" s="1" t="s">
        <v>86</v>
      </c>
      <c r="H65" s="1">
        <v>10.99</v>
      </c>
      <c r="I65" s="1" t="s">
        <v>32</v>
      </c>
      <c r="J65" s="13">
        <f t="shared" si="4"/>
        <v>10.99</v>
      </c>
      <c r="K65" s="1" t="s">
        <v>59</v>
      </c>
    </row>
    <row r="66" spans="1:11">
      <c r="A66" s="1" t="str">
        <f t="shared" si="5"/>
        <v/>
      </c>
      <c r="B66" s="1" t="str">
        <f t="shared" si="6"/>
        <v/>
      </c>
      <c r="C66" s="1" t="str">
        <f t="shared" si="7"/>
        <v/>
      </c>
      <c r="D66" s="1" t="str">
        <f t="shared" si="8"/>
        <v/>
      </c>
      <c r="G66" s="1" t="s">
        <v>86</v>
      </c>
      <c r="H66" s="1">
        <v>19.89</v>
      </c>
      <c r="I66" s="1" t="s">
        <v>32</v>
      </c>
      <c r="J66" s="13">
        <f t="shared" si="4"/>
        <v>19.89</v>
      </c>
      <c r="K66" s="1" t="s">
        <v>59</v>
      </c>
    </row>
    <row r="67" spans="1:11">
      <c r="A67" s="1" t="str">
        <f t="shared" si="5"/>
        <v/>
      </c>
      <c r="B67" s="1" t="str">
        <f t="shared" si="6"/>
        <v/>
      </c>
      <c r="C67" s="1" t="str">
        <f t="shared" si="7"/>
        <v/>
      </c>
      <c r="D67" s="1" t="str">
        <f t="shared" si="8"/>
        <v/>
      </c>
      <c r="G67" s="1" t="s">
        <v>118</v>
      </c>
      <c r="H67" s="1">
        <v>3</v>
      </c>
      <c r="I67" s="1" t="s">
        <v>32</v>
      </c>
      <c r="J67" s="13">
        <f t="shared" si="4"/>
        <v>3</v>
      </c>
      <c r="K67" s="1" t="s">
        <v>85</v>
      </c>
    </row>
    <row r="68" spans="1:11">
      <c r="A68" s="1" t="str">
        <f t="shared" si="5"/>
        <v/>
      </c>
      <c r="B68" s="1" t="str">
        <f t="shared" si="6"/>
        <v/>
      </c>
      <c r="C68" s="1" t="str">
        <f t="shared" si="7"/>
        <v/>
      </c>
      <c r="D68" s="1" t="str">
        <f t="shared" si="8"/>
        <v/>
      </c>
      <c r="G68" s="1" t="s">
        <v>87</v>
      </c>
      <c r="H68" s="1">
        <v>47.17</v>
      </c>
      <c r="I68" s="1" t="s">
        <v>32</v>
      </c>
      <c r="J68" s="13">
        <f t="shared" si="4"/>
        <v>47.17</v>
      </c>
      <c r="K68" s="1" t="s">
        <v>24</v>
      </c>
    </row>
    <row r="69" spans="1:11">
      <c r="A69" s="1" t="str">
        <f t="shared" si="5"/>
        <v/>
      </c>
      <c r="B69" s="1" t="str">
        <f t="shared" si="6"/>
        <v/>
      </c>
      <c r="C69" s="1" t="str">
        <f t="shared" si="7"/>
        <v/>
      </c>
      <c r="D69" s="1" t="str">
        <f t="shared" si="8"/>
        <v/>
      </c>
      <c r="G69" s="1" t="s">
        <v>119</v>
      </c>
      <c r="H69" s="1">
        <v>8</v>
      </c>
      <c r="I69" s="1" t="s">
        <v>32</v>
      </c>
      <c r="J69" s="13">
        <f t="shared" si="4"/>
        <v>8</v>
      </c>
      <c r="K69" s="1" t="s">
        <v>24</v>
      </c>
    </row>
    <row r="70" spans="1:11">
      <c r="A70" s="1" t="str">
        <f t="shared" si="5"/>
        <v/>
      </c>
      <c r="B70" s="1" t="str">
        <f t="shared" si="6"/>
        <v/>
      </c>
      <c r="C70" s="1" t="str">
        <f t="shared" si="7"/>
        <v/>
      </c>
      <c r="D70" s="1" t="str">
        <f t="shared" si="8"/>
        <v/>
      </c>
      <c r="G70" s="1" t="s">
        <v>87</v>
      </c>
      <c r="H70" s="1">
        <v>39.590000000000003</v>
      </c>
      <c r="I70" s="1" t="s">
        <v>32</v>
      </c>
      <c r="J70" s="13">
        <f t="shared" si="4"/>
        <v>39.590000000000003</v>
      </c>
      <c r="K70" s="1" t="s">
        <v>24</v>
      </c>
    </row>
    <row r="71" spans="1:11">
      <c r="A71" s="1" t="str">
        <f t="shared" si="5"/>
        <v/>
      </c>
      <c r="B71" s="1" t="str">
        <f t="shared" si="6"/>
        <v/>
      </c>
      <c r="C71" s="1" t="str">
        <f t="shared" si="7"/>
        <v/>
      </c>
      <c r="D71" s="1" t="str">
        <f t="shared" si="8"/>
        <v/>
      </c>
      <c r="G71" s="1" t="s">
        <v>86</v>
      </c>
      <c r="H71" s="1">
        <v>16.98</v>
      </c>
      <c r="I71" s="1" t="s">
        <v>32</v>
      </c>
      <c r="J71" s="13">
        <f t="shared" si="4"/>
        <v>16.98</v>
      </c>
      <c r="K71" s="1" t="s">
        <v>89</v>
      </c>
    </row>
    <row r="72" spans="1:11">
      <c r="A72" s="1" t="str">
        <f t="shared" si="5"/>
        <v/>
      </c>
      <c r="B72" s="1" t="str">
        <f t="shared" si="6"/>
        <v/>
      </c>
      <c r="C72" s="1" t="str">
        <f t="shared" si="7"/>
        <v/>
      </c>
      <c r="D72" s="1" t="str">
        <f t="shared" si="8"/>
        <v/>
      </c>
      <c r="G72" s="1" t="s">
        <v>86</v>
      </c>
      <c r="H72" s="1">
        <v>14.99</v>
      </c>
      <c r="I72" s="1" t="s">
        <v>32</v>
      </c>
      <c r="J72" s="13">
        <f t="shared" si="4"/>
        <v>14.99</v>
      </c>
      <c r="K72" s="1" t="s">
        <v>89</v>
      </c>
    </row>
    <row r="73" spans="1:11">
      <c r="A73" s="1" t="str">
        <f t="shared" si="5"/>
        <v/>
      </c>
      <c r="B73" s="1" t="str">
        <f t="shared" si="6"/>
        <v/>
      </c>
      <c r="C73" s="1" t="str">
        <f t="shared" si="7"/>
        <v/>
      </c>
      <c r="D73" s="1" t="str">
        <f t="shared" si="8"/>
        <v/>
      </c>
      <c r="G73" s="1" t="s">
        <v>120</v>
      </c>
      <c r="H73" s="1">
        <v>26.97</v>
      </c>
      <c r="I73" s="1" t="s">
        <v>32</v>
      </c>
      <c r="J73" s="13">
        <f t="shared" si="4"/>
        <v>26.97</v>
      </c>
      <c r="K73" s="1" t="s">
        <v>26</v>
      </c>
    </row>
    <row r="74" spans="1:11">
      <c r="A74" s="1" t="str">
        <f t="shared" si="5"/>
        <v/>
      </c>
      <c r="B74" s="1" t="str">
        <f t="shared" si="6"/>
        <v/>
      </c>
      <c r="C74" s="1" t="str">
        <f t="shared" si="7"/>
        <v/>
      </c>
      <c r="D74" s="1" t="str">
        <f t="shared" si="8"/>
        <v/>
      </c>
      <c r="G74" s="1" t="s">
        <v>121</v>
      </c>
      <c r="H74" s="1">
        <v>159.1</v>
      </c>
      <c r="I74" s="1" t="s">
        <v>32</v>
      </c>
      <c r="J74" s="13">
        <f t="shared" si="4"/>
        <v>159.1</v>
      </c>
      <c r="K74" s="1" t="s">
        <v>98</v>
      </c>
    </row>
    <row r="75" spans="1:11">
      <c r="A75" s="1" t="str">
        <f t="shared" si="5"/>
        <v/>
      </c>
      <c r="B75" s="1" t="str">
        <f t="shared" si="6"/>
        <v/>
      </c>
      <c r="C75" s="1" t="str">
        <f t="shared" si="7"/>
        <v/>
      </c>
      <c r="D75" s="1" t="str">
        <f t="shared" si="8"/>
        <v/>
      </c>
      <c r="G75" s="1" t="s">
        <v>84</v>
      </c>
      <c r="H75" s="1">
        <v>13.3</v>
      </c>
      <c r="I75" s="1" t="s">
        <v>32</v>
      </c>
      <c r="J75" s="13">
        <f t="shared" si="4"/>
        <v>13.3</v>
      </c>
      <c r="K75" s="1" t="s">
        <v>85</v>
      </c>
    </row>
    <row r="76" spans="1:11">
      <c r="A76" s="1" t="str">
        <f t="shared" si="5"/>
        <v/>
      </c>
      <c r="B76" s="1" t="str">
        <f t="shared" si="6"/>
        <v/>
      </c>
      <c r="C76" s="1" t="str">
        <f t="shared" si="7"/>
        <v/>
      </c>
      <c r="D76" s="1" t="str">
        <f t="shared" si="8"/>
        <v/>
      </c>
      <c r="G76" s="1" t="s">
        <v>122</v>
      </c>
      <c r="H76" s="1">
        <v>44.25</v>
      </c>
      <c r="I76" s="1" t="s">
        <v>32</v>
      </c>
      <c r="J76" s="13">
        <f t="shared" si="4"/>
        <v>44.25</v>
      </c>
      <c r="K76" s="1" t="s">
        <v>98</v>
      </c>
    </row>
    <row r="77" spans="1:11">
      <c r="A77" s="1" t="str">
        <f t="shared" si="5"/>
        <v/>
      </c>
      <c r="B77" s="1" t="str">
        <f t="shared" si="6"/>
        <v/>
      </c>
      <c r="C77" s="1" t="str">
        <f t="shared" si="7"/>
        <v/>
      </c>
      <c r="D77" s="1" t="str">
        <f t="shared" si="8"/>
        <v/>
      </c>
      <c r="G77" s="1" t="s">
        <v>123</v>
      </c>
      <c r="H77" s="1">
        <v>34</v>
      </c>
      <c r="I77" s="1" t="s">
        <v>32</v>
      </c>
      <c r="J77" s="13">
        <f t="shared" si="4"/>
        <v>34</v>
      </c>
      <c r="K77" s="1" t="s">
        <v>98</v>
      </c>
    </row>
    <row r="78" spans="1:11">
      <c r="A78" s="1" t="str">
        <f t="shared" si="5"/>
        <v/>
      </c>
      <c r="B78" s="1" t="str">
        <f t="shared" si="6"/>
        <v/>
      </c>
      <c r="C78" s="1" t="str">
        <f t="shared" si="7"/>
        <v/>
      </c>
      <c r="D78" s="1" t="str">
        <f t="shared" si="8"/>
        <v/>
      </c>
      <c r="G78" s="1" t="s">
        <v>87</v>
      </c>
      <c r="H78" s="1">
        <v>6.51</v>
      </c>
      <c r="I78" s="1" t="s">
        <v>32</v>
      </c>
      <c r="J78" s="13">
        <f t="shared" si="4"/>
        <v>6.51</v>
      </c>
      <c r="K78" s="1" t="s">
        <v>24</v>
      </c>
    </row>
    <row r="79" spans="1:11">
      <c r="G79" s="1" t="s">
        <v>84</v>
      </c>
      <c r="H79" s="1">
        <v>15.4</v>
      </c>
      <c r="I79" s="1" t="s">
        <v>32</v>
      </c>
      <c r="J79" s="13">
        <f t="shared" si="4"/>
        <v>15.4</v>
      </c>
      <c r="K79" s="1" t="s">
        <v>85</v>
      </c>
    </row>
    <row r="80" spans="1:11">
      <c r="A80" s="1" t="str">
        <f>IF(AND(NOT(ISBLANK(G78)),ISBLANK(G80)),"Reste prévu","")</f>
        <v/>
      </c>
      <c r="B80" s="1" t="str">
        <f>IF(AND(NOT(ISBLANK($G78)),ISBLANK($G80)),$C$42-$F$40-$F$42,"")</f>
        <v/>
      </c>
      <c r="C80" s="1" t="str">
        <f>IF(AND(NOT(ISBLANK($G78)),ISBLANK($G80)),"Reste réel","")</f>
        <v/>
      </c>
      <c r="D80" s="1" t="str">
        <f>IF(AND(NOT(ISBLANK($G78)),ISBLANK($G80)),$C$42-$H$40-$F$42,"")</f>
        <v/>
      </c>
      <c r="G80" s="1" t="s">
        <v>111</v>
      </c>
      <c r="H80" s="1">
        <v>6.5</v>
      </c>
      <c r="I80" s="1" t="s">
        <v>32</v>
      </c>
      <c r="J80" s="13">
        <f t="shared" si="4"/>
        <v>6.5</v>
      </c>
      <c r="K80" s="1" t="s">
        <v>24</v>
      </c>
    </row>
    <row r="81" spans="1:11">
      <c r="A81" s="1" t="str">
        <f t="shared" ref="A81:A86" si="9">IF(AND(NOT(ISBLANK(G80)),ISBLANK(G81)),"Reste prévu","")</f>
        <v/>
      </c>
      <c r="B81" s="1" t="str">
        <f t="shared" ref="B81:B86" si="10">IF(AND(NOT(ISBLANK($G80)),ISBLANK($G81)),$C$42-$F$40-$F$42,"")</f>
        <v/>
      </c>
      <c r="C81" s="1" t="str">
        <f t="shared" ref="C81:C86" si="11">IF(AND(NOT(ISBLANK($G80)),ISBLANK($G81)),"Reste réel","")</f>
        <v/>
      </c>
      <c r="D81" s="1" t="str">
        <f t="shared" ref="D81:D86" si="12">IF(AND(NOT(ISBLANK($G80)),ISBLANK($G81)),$C$42-$H$40-$F$42,"")</f>
        <v/>
      </c>
      <c r="G81" s="1" t="s">
        <v>124</v>
      </c>
      <c r="H81" s="1">
        <v>54.3</v>
      </c>
      <c r="I81" s="1" t="s">
        <v>32</v>
      </c>
      <c r="J81" s="13">
        <f t="shared" si="4"/>
        <v>54.3</v>
      </c>
      <c r="K81" s="1" t="s">
        <v>24</v>
      </c>
    </row>
    <row r="82" spans="1:11">
      <c r="A82" s="1" t="str">
        <f t="shared" si="9"/>
        <v/>
      </c>
      <c r="B82" s="1" t="str">
        <f t="shared" si="10"/>
        <v/>
      </c>
      <c r="C82" s="1" t="str">
        <f t="shared" si="11"/>
        <v/>
      </c>
      <c r="D82" s="1" t="str">
        <f t="shared" si="12"/>
        <v/>
      </c>
      <c r="G82" s="1" t="s">
        <v>87</v>
      </c>
      <c r="H82" s="1">
        <v>11.78</v>
      </c>
      <c r="I82" s="1" t="s">
        <v>32</v>
      </c>
      <c r="J82" s="13">
        <f t="shared" si="4"/>
        <v>11.78</v>
      </c>
      <c r="K82" s="1" t="s">
        <v>24</v>
      </c>
    </row>
    <row r="83" spans="1:11">
      <c r="A83" s="1" t="str">
        <f t="shared" si="9"/>
        <v/>
      </c>
      <c r="B83" s="1" t="str">
        <f t="shared" si="10"/>
        <v/>
      </c>
      <c r="C83" s="1" t="str">
        <f t="shared" si="11"/>
        <v/>
      </c>
      <c r="D83" s="1" t="str">
        <f t="shared" si="12"/>
        <v/>
      </c>
      <c r="G83" s="1" t="s">
        <v>115</v>
      </c>
      <c r="H83" s="1">
        <v>13</v>
      </c>
      <c r="I83" s="1" t="s">
        <v>32</v>
      </c>
      <c r="J83" s="13">
        <f t="shared" si="4"/>
        <v>13</v>
      </c>
      <c r="K83" s="1" t="s">
        <v>59</v>
      </c>
    </row>
    <row r="84" spans="1:11">
      <c r="A84" s="1" t="str">
        <f t="shared" si="9"/>
        <v/>
      </c>
      <c r="B84" s="1" t="str">
        <f t="shared" si="10"/>
        <v/>
      </c>
      <c r="C84" s="1" t="str">
        <f t="shared" si="11"/>
        <v/>
      </c>
      <c r="D84" s="1" t="str">
        <f t="shared" si="12"/>
        <v/>
      </c>
      <c r="G84" s="1" t="s">
        <v>125</v>
      </c>
      <c r="H84" s="1">
        <v>50</v>
      </c>
      <c r="I84" s="1" t="s">
        <v>32</v>
      </c>
      <c r="J84" s="13">
        <f t="shared" si="4"/>
        <v>50</v>
      </c>
      <c r="K84" s="1" t="s">
        <v>24</v>
      </c>
    </row>
    <row r="85" spans="1:11">
      <c r="A85" s="1" t="str">
        <f t="shared" si="9"/>
        <v/>
      </c>
      <c r="B85" s="1" t="str">
        <f t="shared" si="10"/>
        <v/>
      </c>
      <c r="C85" s="1" t="str">
        <f t="shared" si="11"/>
        <v/>
      </c>
      <c r="D85" s="1" t="str">
        <f t="shared" si="12"/>
        <v/>
      </c>
      <c r="G85" s="1" t="s">
        <v>87</v>
      </c>
      <c r="H85" s="1">
        <v>33.49</v>
      </c>
      <c r="I85" s="1" t="s">
        <v>32</v>
      </c>
      <c r="J85" s="13">
        <f t="shared" si="4"/>
        <v>33.49</v>
      </c>
      <c r="K85" s="1" t="s">
        <v>24</v>
      </c>
    </row>
    <row r="86" spans="1:11">
      <c r="A86" s="1" t="str">
        <f t="shared" si="9"/>
        <v/>
      </c>
      <c r="B86" s="1" t="str">
        <f t="shared" si="10"/>
        <v/>
      </c>
      <c r="C86" s="1" t="str">
        <f t="shared" si="11"/>
        <v/>
      </c>
      <c r="D86" s="1" t="str">
        <f t="shared" si="12"/>
        <v/>
      </c>
      <c r="G86" s="1" t="s">
        <v>87</v>
      </c>
      <c r="H86" s="1">
        <v>43.24</v>
      </c>
      <c r="I86" s="1" t="s">
        <v>32</v>
      </c>
      <c r="J86" s="13">
        <f t="shared" si="4"/>
        <v>43.24</v>
      </c>
      <c r="K86" s="1" t="s">
        <v>24</v>
      </c>
    </row>
    <row r="87" spans="1:11">
      <c r="G87" s="1" t="s">
        <v>126</v>
      </c>
      <c r="H87" s="1">
        <v>19.600000000000001</v>
      </c>
      <c r="I87" s="1" t="s">
        <v>32</v>
      </c>
      <c r="J87" s="13">
        <f t="shared" si="4"/>
        <v>19.600000000000001</v>
      </c>
      <c r="K87" s="1" t="s">
        <v>55</v>
      </c>
    </row>
    <row r="88" spans="1:11">
      <c r="G88" s="1" t="s">
        <v>87</v>
      </c>
      <c r="H88" s="1">
        <v>180.89</v>
      </c>
      <c r="I88" s="1" t="s">
        <v>32</v>
      </c>
      <c r="J88" s="13">
        <f t="shared" si="4"/>
        <v>180.89</v>
      </c>
      <c r="K88" s="1" t="s">
        <v>24</v>
      </c>
    </row>
    <row r="89" spans="1:11">
      <c r="A89" s="1" t="str">
        <f>IF(AND(NOT(ISBLANK(G86)),ISBLANK(G89)),"Reste prévu","")</f>
        <v/>
      </c>
      <c r="B89" s="1" t="str">
        <f>IF(AND(NOT(ISBLANK($G86)),ISBLANK($G89)),$C$42-$F$40-$F$42,"")</f>
        <v/>
      </c>
      <c r="C89" s="1" t="str">
        <f>IF(AND(NOT(ISBLANK($G86)),ISBLANK($G89)),"Reste réel","")</f>
        <v/>
      </c>
      <c r="D89" s="1" t="str">
        <f>IF(AND(NOT(ISBLANK($G86)),ISBLANK($G89)),$C$42-$H$40-$F$42,"")</f>
        <v/>
      </c>
      <c r="G89" s="14" t="s">
        <v>127</v>
      </c>
      <c r="H89" s="1">
        <v>180</v>
      </c>
      <c r="I89" s="1" t="s">
        <v>32</v>
      </c>
      <c r="J89" s="13">
        <f t="shared" si="4"/>
        <v>180</v>
      </c>
      <c r="K89" s="1" t="s">
        <v>85</v>
      </c>
    </row>
    <row r="90" spans="1:11">
      <c r="A90" s="1" t="str">
        <f t="shared" ref="A90:A239" si="13">IF(AND(NOT(ISBLANK(G89)),ISBLANK(G90)),"Reste prévu","")</f>
        <v/>
      </c>
      <c r="B90" s="1" t="str">
        <f t="shared" ref="B90:B239" si="14">IF(AND(NOT(ISBLANK($G89)),ISBLANK($G90)),$C$42-$F$40-$F$42,"")</f>
        <v/>
      </c>
      <c r="C90" s="1" t="str">
        <f t="shared" ref="C90:C239" si="15">IF(AND(NOT(ISBLANK($G89)),ISBLANK($G90)),"Reste réel","")</f>
        <v/>
      </c>
      <c r="D90" s="1" t="str">
        <f t="shared" ref="D90:D239" si="16">IF(AND(NOT(ISBLANK($G89)),ISBLANK($G90)),$C$42-$H$40-$F$42,"")</f>
        <v/>
      </c>
      <c r="G90" s="1" t="s">
        <v>128</v>
      </c>
      <c r="H90" s="1">
        <v>149</v>
      </c>
      <c r="I90" s="1" t="s">
        <v>32</v>
      </c>
      <c r="J90" s="13">
        <f t="shared" si="4"/>
        <v>149</v>
      </c>
      <c r="K90" s="1" t="s">
        <v>85</v>
      </c>
    </row>
    <row r="91" spans="1:11">
      <c r="A91" s="1" t="str">
        <f t="shared" si="13"/>
        <v/>
      </c>
      <c r="B91" s="1" t="str">
        <f t="shared" si="14"/>
        <v/>
      </c>
      <c r="C91" s="1" t="str">
        <f t="shared" si="15"/>
        <v/>
      </c>
      <c r="D91" s="1" t="str">
        <f t="shared" si="16"/>
        <v/>
      </c>
      <c r="G91" s="1" t="s">
        <v>1</v>
      </c>
      <c r="H91" s="1">
        <v>700</v>
      </c>
      <c r="I91" s="1" t="s">
        <v>32</v>
      </c>
      <c r="J91" s="13">
        <f t="shared" si="4"/>
        <v>700</v>
      </c>
      <c r="K91" s="1" t="s">
        <v>59</v>
      </c>
    </row>
    <row r="92" spans="1:11">
      <c r="A92" s="1" t="str">
        <f t="shared" si="13"/>
        <v/>
      </c>
      <c r="B92" s="1" t="str">
        <f t="shared" si="14"/>
        <v/>
      </c>
      <c r="C92" s="1" t="str">
        <f t="shared" si="15"/>
        <v/>
      </c>
      <c r="D92" s="1" t="str">
        <f t="shared" si="16"/>
        <v/>
      </c>
      <c r="G92" s="1" t="s">
        <v>111</v>
      </c>
      <c r="H92" s="1">
        <v>5.2</v>
      </c>
      <c r="I92" s="1" t="s">
        <v>32</v>
      </c>
      <c r="J92" s="13">
        <f t="shared" si="4"/>
        <v>5.2</v>
      </c>
      <c r="K92" s="1" t="s">
        <v>24</v>
      </c>
    </row>
    <row r="93" spans="1:11">
      <c r="A93" s="1" t="str">
        <f t="shared" si="13"/>
        <v/>
      </c>
      <c r="B93" s="1" t="str">
        <f t="shared" si="14"/>
        <v/>
      </c>
      <c r="C93" s="1" t="str">
        <f t="shared" si="15"/>
        <v/>
      </c>
      <c r="D93" s="1" t="str">
        <f t="shared" si="16"/>
        <v/>
      </c>
      <c r="G93" s="1" t="s">
        <v>129</v>
      </c>
      <c r="H93" s="1">
        <v>23.3</v>
      </c>
      <c r="I93" s="1" t="s">
        <v>32</v>
      </c>
      <c r="J93" s="13">
        <f t="shared" si="4"/>
        <v>23.3</v>
      </c>
      <c r="K93" s="1" t="s">
        <v>24</v>
      </c>
    </row>
    <row r="94" spans="1:11">
      <c r="A94" s="1" t="str">
        <f t="shared" si="13"/>
        <v/>
      </c>
      <c r="B94" s="1" t="str">
        <f t="shared" si="14"/>
        <v/>
      </c>
      <c r="C94" s="1" t="str">
        <f t="shared" si="15"/>
        <v/>
      </c>
      <c r="D94" s="1" t="str">
        <f t="shared" si="16"/>
        <v/>
      </c>
      <c r="G94" s="1" t="s">
        <v>130</v>
      </c>
      <c r="H94" s="1">
        <v>46.4</v>
      </c>
      <c r="I94" s="1" t="s">
        <v>32</v>
      </c>
      <c r="J94" s="13">
        <f t="shared" si="4"/>
        <v>46.4</v>
      </c>
      <c r="K94" s="1" t="s">
        <v>83</v>
      </c>
    </row>
    <row r="95" spans="1:11">
      <c r="A95" s="1" t="str">
        <f t="shared" si="13"/>
        <v/>
      </c>
      <c r="B95" s="1" t="str">
        <f t="shared" si="14"/>
        <v/>
      </c>
      <c r="C95" s="1" t="str">
        <f t="shared" si="15"/>
        <v/>
      </c>
      <c r="D95" s="1" t="str">
        <f t="shared" si="16"/>
        <v/>
      </c>
      <c r="G95" s="1" t="s">
        <v>87</v>
      </c>
      <c r="H95" s="1">
        <v>8</v>
      </c>
      <c r="I95" s="1" t="s">
        <v>32</v>
      </c>
      <c r="J95" s="13">
        <f t="shared" si="4"/>
        <v>8</v>
      </c>
      <c r="K95" s="1" t="s">
        <v>24</v>
      </c>
    </row>
    <row r="96" spans="1:11">
      <c r="A96" s="1" t="str">
        <f t="shared" si="13"/>
        <v/>
      </c>
      <c r="B96" s="1" t="str">
        <f t="shared" si="14"/>
        <v/>
      </c>
      <c r="C96" s="1" t="str">
        <f t="shared" si="15"/>
        <v/>
      </c>
      <c r="D96" s="1" t="str">
        <f t="shared" si="16"/>
        <v/>
      </c>
      <c r="G96" s="1" t="s">
        <v>87</v>
      </c>
      <c r="H96" s="1">
        <v>59.88</v>
      </c>
      <c r="I96" s="1" t="s">
        <v>32</v>
      </c>
      <c r="J96" s="13">
        <f t="shared" si="4"/>
        <v>59.88</v>
      </c>
      <c r="K96" s="1" t="s">
        <v>24</v>
      </c>
    </row>
    <row r="97" spans="1:11">
      <c r="A97" s="1" t="str">
        <f t="shared" si="13"/>
        <v/>
      </c>
      <c r="B97" s="1" t="str">
        <f t="shared" si="14"/>
        <v/>
      </c>
      <c r="C97" s="1" t="str">
        <f t="shared" si="15"/>
        <v/>
      </c>
      <c r="D97" s="1" t="str">
        <f t="shared" si="16"/>
        <v/>
      </c>
      <c r="G97" s="1" t="s">
        <v>111</v>
      </c>
      <c r="H97" s="1">
        <v>15.2</v>
      </c>
      <c r="I97" s="1" t="s">
        <v>32</v>
      </c>
      <c r="J97" s="13">
        <f t="shared" si="4"/>
        <v>15.2</v>
      </c>
      <c r="K97" s="1" t="s">
        <v>24</v>
      </c>
    </row>
    <row r="98" spans="1:11">
      <c r="A98" s="1" t="str">
        <f t="shared" si="13"/>
        <v/>
      </c>
      <c r="B98" s="1" t="str">
        <f t="shared" si="14"/>
        <v/>
      </c>
      <c r="C98" s="1" t="str">
        <f t="shared" si="15"/>
        <v/>
      </c>
      <c r="D98" s="1" t="str">
        <f t="shared" si="16"/>
        <v/>
      </c>
      <c r="G98" s="1" t="s">
        <v>131</v>
      </c>
      <c r="H98" s="1">
        <v>27.1</v>
      </c>
      <c r="I98" s="1" t="s">
        <v>32</v>
      </c>
      <c r="J98" s="13">
        <f t="shared" si="4"/>
        <v>27.1</v>
      </c>
      <c r="K98" s="1" t="s">
        <v>98</v>
      </c>
    </row>
    <row r="99" spans="1:11">
      <c r="A99" s="1" t="str">
        <f t="shared" si="13"/>
        <v/>
      </c>
      <c r="B99" s="1" t="str">
        <f t="shared" si="14"/>
        <v/>
      </c>
      <c r="C99" s="1" t="str">
        <f t="shared" si="15"/>
        <v/>
      </c>
      <c r="D99" s="1" t="str">
        <f t="shared" si="16"/>
        <v/>
      </c>
      <c r="G99" s="1" t="s">
        <v>121</v>
      </c>
      <c r="H99" s="1">
        <v>127.9</v>
      </c>
      <c r="I99" s="1" t="s">
        <v>32</v>
      </c>
      <c r="J99" s="13">
        <f t="shared" si="4"/>
        <v>127.9</v>
      </c>
      <c r="K99" s="1" t="s">
        <v>98</v>
      </c>
    </row>
    <row r="100" spans="1:11">
      <c r="A100" s="1" t="str">
        <f t="shared" si="13"/>
        <v/>
      </c>
      <c r="B100" s="1" t="str">
        <f t="shared" si="14"/>
        <v/>
      </c>
      <c r="C100" s="1" t="str">
        <f t="shared" si="15"/>
        <v/>
      </c>
      <c r="D100" s="1" t="str">
        <f t="shared" si="16"/>
        <v/>
      </c>
      <c r="G100" s="1" t="s">
        <v>132</v>
      </c>
      <c r="H100" s="1">
        <v>30</v>
      </c>
      <c r="I100" s="1" t="s">
        <v>32</v>
      </c>
      <c r="J100" s="13">
        <f t="shared" si="4"/>
        <v>30</v>
      </c>
      <c r="K100" s="1" t="s">
        <v>59</v>
      </c>
    </row>
    <row r="101" spans="1:11">
      <c r="A101" s="1" t="str">
        <f t="shared" si="13"/>
        <v/>
      </c>
      <c r="B101" s="1" t="str">
        <f t="shared" si="14"/>
        <v/>
      </c>
      <c r="C101" s="1" t="str">
        <f t="shared" si="15"/>
        <v/>
      </c>
      <c r="D101" s="1" t="str">
        <f t="shared" si="16"/>
        <v/>
      </c>
      <c r="G101" s="1" t="s">
        <v>133</v>
      </c>
      <c r="H101" s="1">
        <v>8.9</v>
      </c>
      <c r="I101" s="1" t="s">
        <v>32</v>
      </c>
      <c r="J101" s="13">
        <f t="shared" si="4"/>
        <v>8.9</v>
      </c>
      <c r="K101" s="1" t="s">
        <v>98</v>
      </c>
    </row>
    <row r="102" spans="1:11">
      <c r="A102" s="1" t="str">
        <f t="shared" si="13"/>
        <v/>
      </c>
      <c r="B102" s="1" t="str">
        <f t="shared" si="14"/>
        <v/>
      </c>
      <c r="C102" s="1" t="str">
        <f t="shared" si="15"/>
        <v/>
      </c>
      <c r="D102" s="1" t="str">
        <f t="shared" si="16"/>
        <v/>
      </c>
      <c r="G102" s="1" t="s">
        <v>134</v>
      </c>
      <c r="H102" s="1">
        <v>22.5</v>
      </c>
      <c r="I102" s="1" t="s">
        <v>32</v>
      </c>
      <c r="J102" s="13">
        <f t="shared" si="4"/>
        <v>22.5</v>
      </c>
      <c r="K102" s="1" t="s">
        <v>59</v>
      </c>
    </row>
    <row r="103" spans="1:11">
      <c r="A103" s="1" t="str">
        <f t="shared" si="13"/>
        <v/>
      </c>
      <c r="B103" s="1" t="str">
        <f t="shared" si="14"/>
        <v/>
      </c>
      <c r="C103" s="1" t="str">
        <f t="shared" si="15"/>
        <v/>
      </c>
      <c r="D103" s="1" t="str">
        <f t="shared" si="16"/>
        <v/>
      </c>
      <c r="G103" s="1" t="s">
        <v>115</v>
      </c>
      <c r="H103" s="1">
        <v>13</v>
      </c>
      <c r="I103" s="1" t="s">
        <v>32</v>
      </c>
      <c r="J103" s="13">
        <f t="shared" si="4"/>
        <v>13</v>
      </c>
      <c r="K103" s="1" t="s">
        <v>59</v>
      </c>
    </row>
    <row r="104" spans="1:11">
      <c r="A104" s="1" t="str">
        <f t="shared" si="13"/>
        <v/>
      </c>
      <c r="B104" s="1" t="str">
        <f t="shared" si="14"/>
        <v/>
      </c>
      <c r="C104" s="1" t="str">
        <f t="shared" si="15"/>
        <v/>
      </c>
      <c r="D104" s="1" t="str">
        <f t="shared" si="16"/>
        <v/>
      </c>
      <c r="G104" s="1" t="s">
        <v>135</v>
      </c>
      <c r="H104" s="1">
        <v>523.70000000000005</v>
      </c>
      <c r="I104" s="1" t="s">
        <v>32</v>
      </c>
      <c r="J104" s="13">
        <f t="shared" si="4"/>
        <v>523.70000000000005</v>
      </c>
      <c r="K104" s="1" t="s">
        <v>89</v>
      </c>
    </row>
    <row r="105" spans="1:11">
      <c r="A105" s="1" t="str">
        <f t="shared" si="13"/>
        <v/>
      </c>
      <c r="B105" s="1" t="str">
        <f t="shared" si="14"/>
        <v/>
      </c>
      <c r="C105" s="1" t="str">
        <f t="shared" si="15"/>
        <v/>
      </c>
      <c r="D105" s="1" t="str">
        <f t="shared" si="16"/>
        <v/>
      </c>
      <c r="G105" s="1" t="s">
        <v>86</v>
      </c>
      <c r="H105" s="1">
        <v>18.98</v>
      </c>
      <c r="I105" s="1" t="s">
        <v>32</v>
      </c>
      <c r="J105" s="13">
        <f t="shared" si="4"/>
        <v>18.98</v>
      </c>
      <c r="K105" s="1" t="s">
        <v>44</v>
      </c>
    </row>
    <row r="106" spans="1:11">
      <c r="A106" s="1" t="str">
        <f t="shared" si="13"/>
        <v/>
      </c>
      <c r="B106" s="1" t="str">
        <f t="shared" si="14"/>
        <v/>
      </c>
      <c r="C106" s="1" t="str">
        <f t="shared" si="15"/>
        <v/>
      </c>
      <c r="D106" s="1" t="str">
        <f t="shared" si="16"/>
        <v/>
      </c>
      <c r="G106" s="1" t="s">
        <v>136</v>
      </c>
      <c r="H106" s="1">
        <v>112.76</v>
      </c>
      <c r="I106" s="1" t="s">
        <v>32</v>
      </c>
      <c r="J106" s="13">
        <f t="shared" si="4"/>
        <v>112.76</v>
      </c>
      <c r="K106" s="1" t="s">
        <v>83</v>
      </c>
    </row>
    <row r="107" spans="1:11">
      <c r="A107" s="1" t="str">
        <f t="shared" si="13"/>
        <v/>
      </c>
      <c r="B107" s="1" t="str">
        <f t="shared" si="14"/>
        <v/>
      </c>
      <c r="C107" s="1" t="str">
        <f t="shared" si="15"/>
        <v/>
      </c>
      <c r="D107" s="1" t="str">
        <f t="shared" si="16"/>
        <v/>
      </c>
      <c r="G107" s="1" t="s">
        <v>137</v>
      </c>
      <c r="H107" s="1">
        <v>26</v>
      </c>
      <c r="I107" s="1" t="s">
        <v>32</v>
      </c>
      <c r="J107" s="13">
        <f t="shared" si="4"/>
        <v>26</v>
      </c>
      <c r="K107" s="1" t="s">
        <v>59</v>
      </c>
    </row>
    <row r="108" spans="1:11">
      <c r="A108" s="1" t="str">
        <f t="shared" si="13"/>
        <v/>
      </c>
      <c r="B108" s="1" t="str">
        <f t="shared" si="14"/>
        <v/>
      </c>
      <c r="C108" s="1" t="str">
        <f t="shared" si="15"/>
        <v/>
      </c>
      <c r="D108" s="1" t="str">
        <f t="shared" si="16"/>
        <v/>
      </c>
      <c r="G108" s="1" t="s">
        <v>138</v>
      </c>
      <c r="H108" s="1">
        <v>11.6</v>
      </c>
      <c r="I108" s="1" t="s">
        <v>32</v>
      </c>
      <c r="J108" s="13">
        <f t="shared" si="4"/>
        <v>11.6</v>
      </c>
      <c r="K108" s="1" t="s">
        <v>25</v>
      </c>
    </row>
    <row r="109" spans="1:11">
      <c r="A109" s="1" t="str">
        <f t="shared" si="13"/>
        <v/>
      </c>
      <c r="B109" s="1" t="str">
        <f t="shared" si="14"/>
        <v/>
      </c>
      <c r="C109" s="1" t="str">
        <f t="shared" si="15"/>
        <v/>
      </c>
      <c r="D109" s="1" t="str">
        <f t="shared" si="16"/>
        <v/>
      </c>
      <c r="G109" s="1" t="s">
        <v>87</v>
      </c>
      <c r="H109" s="1">
        <v>127.03</v>
      </c>
      <c r="I109" s="1" t="s">
        <v>32</v>
      </c>
      <c r="J109" s="13">
        <f t="shared" si="4"/>
        <v>127.03</v>
      </c>
      <c r="K109" s="1" t="s">
        <v>24</v>
      </c>
    </row>
    <row r="110" spans="1:11">
      <c r="A110" s="1" t="str">
        <f t="shared" si="13"/>
        <v/>
      </c>
      <c r="B110" s="1" t="str">
        <f t="shared" si="14"/>
        <v/>
      </c>
      <c r="C110" s="1" t="str">
        <f t="shared" si="15"/>
        <v/>
      </c>
      <c r="D110" s="1" t="str">
        <f t="shared" si="16"/>
        <v/>
      </c>
      <c r="G110" s="1" t="s">
        <v>84</v>
      </c>
      <c r="H110" s="1">
        <v>26.15</v>
      </c>
      <c r="I110" s="1" t="s">
        <v>32</v>
      </c>
      <c r="J110" s="13">
        <f t="shared" si="4"/>
        <v>26.15</v>
      </c>
      <c r="K110" s="1" t="s">
        <v>85</v>
      </c>
    </row>
    <row r="111" spans="1:11">
      <c r="A111" s="1" t="str">
        <f t="shared" si="13"/>
        <v/>
      </c>
      <c r="B111" s="1" t="str">
        <f t="shared" si="14"/>
        <v/>
      </c>
      <c r="C111" s="1" t="str">
        <f t="shared" si="15"/>
        <v/>
      </c>
      <c r="D111" s="1" t="str">
        <f t="shared" si="16"/>
        <v/>
      </c>
      <c r="G111" s="1" t="s">
        <v>139</v>
      </c>
      <c r="H111" s="1">
        <v>12.8</v>
      </c>
      <c r="I111" s="1" t="s">
        <v>32</v>
      </c>
      <c r="J111" s="13">
        <f t="shared" si="4"/>
        <v>12.8</v>
      </c>
      <c r="K111" s="1" t="s">
        <v>24</v>
      </c>
    </row>
    <row r="112" spans="1:11">
      <c r="A112" s="1" t="str">
        <f t="shared" si="13"/>
        <v/>
      </c>
      <c r="B112" s="1" t="str">
        <f t="shared" si="14"/>
        <v/>
      </c>
      <c r="C112" s="1" t="str">
        <f t="shared" si="15"/>
        <v/>
      </c>
      <c r="D112" s="1" t="str">
        <f t="shared" si="16"/>
        <v/>
      </c>
      <c r="G112" s="1" t="s">
        <v>140</v>
      </c>
      <c r="H112" s="1">
        <v>16</v>
      </c>
      <c r="I112" s="1" t="s">
        <v>32</v>
      </c>
      <c r="J112" s="13">
        <f t="shared" si="4"/>
        <v>16</v>
      </c>
      <c r="K112" s="1" t="s">
        <v>24</v>
      </c>
    </row>
    <row r="113" spans="1:11">
      <c r="A113" s="1" t="str">
        <f t="shared" si="13"/>
        <v/>
      </c>
      <c r="B113" s="1" t="str">
        <f t="shared" si="14"/>
        <v/>
      </c>
      <c r="C113" s="1" t="str">
        <f t="shared" si="15"/>
        <v/>
      </c>
      <c r="D113" s="1" t="str">
        <f t="shared" si="16"/>
        <v/>
      </c>
      <c r="G113" s="1" t="s">
        <v>87</v>
      </c>
      <c r="H113" s="1">
        <v>43.7</v>
      </c>
      <c r="I113" s="1" t="s">
        <v>32</v>
      </c>
      <c r="J113" s="13">
        <f t="shared" si="4"/>
        <v>43.7</v>
      </c>
      <c r="K113" s="1" t="s">
        <v>24</v>
      </c>
    </row>
    <row r="114" spans="1:11">
      <c r="A114" s="1" t="str">
        <f t="shared" si="13"/>
        <v/>
      </c>
      <c r="B114" s="1" t="str">
        <f t="shared" si="14"/>
        <v/>
      </c>
      <c r="C114" s="1" t="str">
        <f t="shared" si="15"/>
        <v/>
      </c>
      <c r="D114" s="1" t="str">
        <f t="shared" si="16"/>
        <v/>
      </c>
      <c r="G114" s="1" t="s">
        <v>87</v>
      </c>
      <c r="H114" s="1">
        <v>49.67</v>
      </c>
      <c r="I114" s="1" t="s">
        <v>32</v>
      </c>
      <c r="J114" s="13">
        <f t="shared" si="4"/>
        <v>49.67</v>
      </c>
      <c r="K114" s="1" t="s">
        <v>24</v>
      </c>
    </row>
    <row r="115" spans="1:11">
      <c r="A115" s="1" t="str">
        <f t="shared" si="13"/>
        <v/>
      </c>
      <c r="B115" s="1" t="str">
        <f t="shared" si="14"/>
        <v/>
      </c>
      <c r="C115" s="1" t="str">
        <f t="shared" si="15"/>
        <v/>
      </c>
      <c r="D115" s="1" t="str">
        <f t="shared" si="16"/>
        <v/>
      </c>
      <c r="G115" s="1" t="s">
        <v>141</v>
      </c>
      <c r="H115" s="1">
        <v>52.45</v>
      </c>
      <c r="I115" s="1" t="s">
        <v>32</v>
      </c>
      <c r="J115" s="13">
        <f t="shared" si="4"/>
        <v>52.45</v>
      </c>
      <c r="K115" s="1" t="s">
        <v>24</v>
      </c>
    </row>
    <row r="116" spans="1:11">
      <c r="A116" s="1" t="str">
        <f t="shared" si="13"/>
        <v/>
      </c>
      <c r="B116" s="1" t="str">
        <f t="shared" si="14"/>
        <v/>
      </c>
      <c r="C116" s="1" t="str">
        <f t="shared" si="15"/>
        <v/>
      </c>
      <c r="D116" s="1" t="str">
        <f t="shared" si="16"/>
        <v/>
      </c>
      <c r="G116" s="1" t="s">
        <v>142</v>
      </c>
      <c r="H116" s="1">
        <v>60</v>
      </c>
      <c r="I116" s="1" t="s">
        <v>32</v>
      </c>
      <c r="J116" s="13">
        <f t="shared" si="4"/>
        <v>60</v>
      </c>
      <c r="K116" s="1" t="s">
        <v>98</v>
      </c>
    </row>
    <row r="117" spans="1:11">
      <c r="A117" s="1" t="str">
        <f t="shared" si="13"/>
        <v/>
      </c>
      <c r="B117" s="1" t="str">
        <f t="shared" si="14"/>
        <v/>
      </c>
      <c r="C117" s="1" t="str">
        <f t="shared" si="15"/>
        <v/>
      </c>
      <c r="D117" s="1" t="str">
        <f t="shared" si="16"/>
        <v/>
      </c>
      <c r="G117" s="1" t="s">
        <v>143</v>
      </c>
      <c r="H117" s="1">
        <v>8</v>
      </c>
      <c r="I117" s="1" t="s">
        <v>32</v>
      </c>
      <c r="J117" s="13">
        <f t="shared" si="4"/>
        <v>8</v>
      </c>
      <c r="K117" s="1" t="s">
        <v>98</v>
      </c>
    </row>
    <row r="118" spans="1:11">
      <c r="A118" s="1" t="str">
        <f t="shared" si="13"/>
        <v/>
      </c>
      <c r="B118" s="1" t="str">
        <f t="shared" si="14"/>
        <v/>
      </c>
      <c r="C118" s="1" t="str">
        <f t="shared" si="15"/>
        <v/>
      </c>
      <c r="D118" s="1" t="str">
        <f t="shared" si="16"/>
        <v/>
      </c>
      <c r="G118" s="1" t="s">
        <v>144</v>
      </c>
      <c r="H118" s="1">
        <v>85.4</v>
      </c>
      <c r="I118" s="1" t="s">
        <v>32</v>
      </c>
      <c r="J118" s="13">
        <f t="shared" si="4"/>
        <v>85.4</v>
      </c>
      <c r="K118" s="1" t="s">
        <v>24</v>
      </c>
    </row>
    <row r="119" spans="1:11">
      <c r="A119" s="1" t="str">
        <f t="shared" si="13"/>
        <v/>
      </c>
      <c r="B119" s="1" t="str">
        <f t="shared" si="14"/>
        <v/>
      </c>
      <c r="C119" s="1" t="str">
        <f t="shared" si="15"/>
        <v/>
      </c>
      <c r="D119" s="1" t="str">
        <f t="shared" si="16"/>
        <v/>
      </c>
      <c r="G119" s="1" t="s">
        <v>112</v>
      </c>
      <c r="H119" s="1">
        <v>15.2</v>
      </c>
      <c r="I119" s="1" t="s">
        <v>32</v>
      </c>
      <c r="J119" s="13">
        <f t="shared" si="4"/>
        <v>15.2</v>
      </c>
      <c r="K119" s="1" t="s">
        <v>89</v>
      </c>
    </row>
    <row r="120" spans="1:11">
      <c r="A120" s="1" t="str">
        <f t="shared" si="13"/>
        <v/>
      </c>
      <c r="B120" s="1" t="str">
        <f t="shared" si="14"/>
        <v/>
      </c>
      <c r="C120" s="1" t="str">
        <f t="shared" si="15"/>
        <v/>
      </c>
      <c r="D120" s="1" t="str">
        <f t="shared" si="16"/>
        <v/>
      </c>
      <c r="G120" s="1" t="s">
        <v>87</v>
      </c>
      <c r="H120" s="1">
        <v>43.35</v>
      </c>
      <c r="I120" s="1" t="s">
        <v>32</v>
      </c>
      <c r="J120" s="13">
        <f t="shared" si="4"/>
        <v>43.35</v>
      </c>
      <c r="K120" s="1" t="s">
        <v>24</v>
      </c>
    </row>
    <row r="121" spans="1:11">
      <c r="A121" s="1" t="str">
        <f t="shared" si="13"/>
        <v/>
      </c>
      <c r="B121" s="1" t="str">
        <f t="shared" si="14"/>
        <v/>
      </c>
      <c r="C121" s="1" t="str">
        <f t="shared" si="15"/>
        <v/>
      </c>
      <c r="D121" s="1" t="str">
        <f t="shared" si="16"/>
        <v/>
      </c>
      <c r="G121" s="1" t="s">
        <v>127</v>
      </c>
      <c r="H121" s="1">
        <v>135</v>
      </c>
      <c r="I121" s="1" t="s">
        <v>32</v>
      </c>
      <c r="J121" s="13">
        <f t="shared" si="4"/>
        <v>135</v>
      </c>
      <c r="K121" s="1" t="s">
        <v>55</v>
      </c>
    </row>
    <row r="122" spans="1:11">
      <c r="A122" s="1" t="str">
        <f t="shared" si="13"/>
        <v/>
      </c>
      <c r="B122" s="1" t="str">
        <f t="shared" si="14"/>
        <v/>
      </c>
      <c r="C122" s="1" t="str">
        <f t="shared" si="15"/>
        <v/>
      </c>
      <c r="D122" s="1" t="str">
        <f t="shared" si="16"/>
        <v/>
      </c>
      <c r="G122" s="1" t="s">
        <v>87</v>
      </c>
      <c r="H122" s="1">
        <v>19</v>
      </c>
      <c r="I122" s="1" t="s">
        <v>32</v>
      </c>
      <c r="J122" s="13">
        <f t="shared" si="4"/>
        <v>19</v>
      </c>
      <c r="K122" s="1" t="s">
        <v>24</v>
      </c>
    </row>
    <row r="123" spans="1:11">
      <c r="A123" s="1" t="str">
        <f t="shared" si="13"/>
        <v/>
      </c>
      <c r="B123" s="1" t="str">
        <f t="shared" si="14"/>
        <v/>
      </c>
      <c r="C123" s="1" t="str">
        <f t="shared" si="15"/>
        <v/>
      </c>
      <c r="D123" s="1" t="str">
        <f t="shared" si="16"/>
        <v/>
      </c>
      <c r="G123" s="1" t="s">
        <v>87</v>
      </c>
      <c r="H123" s="1">
        <v>30.8</v>
      </c>
      <c r="I123" s="1" t="s">
        <v>32</v>
      </c>
      <c r="J123" s="13">
        <f t="shared" si="4"/>
        <v>30.8</v>
      </c>
      <c r="K123" s="1" t="s">
        <v>24</v>
      </c>
    </row>
    <row r="124" spans="1:11">
      <c r="A124" s="1" t="str">
        <f t="shared" si="13"/>
        <v/>
      </c>
      <c r="B124" s="1" t="str">
        <f t="shared" si="14"/>
        <v/>
      </c>
      <c r="C124" s="1" t="str">
        <f t="shared" si="15"/>
        <v/>
      </c>
      <c r="D124" s="1" t="str">
        <f t="shared" si="16"/>
        <v/>
      </c>
      <c r="G124" s="1" t="s">
        <v>145</v>
      </c>
      <c r="H124" s="1">
        <v>7.39</v>
      </c>
      <c r="I124" s="1" t="s">
        <v>32</v>
      </c>
      <c r="J124" s="13">
        <f t="shared" si="4"/>
        <v>7.39</v>
      </c>
      <c r="K124" s="1" t="s">
        <v>59</v>
      </c>
    </row>
    <row r="125" spans="1:11">
      <c r="A125" s="1" t="str">
        <f t="shared" si="13"/>
        <v/>
      </c>
      <c r="B125" s="1" t="str">
        <f t="shared" si="14"/>
        <v/>
      </c>
      <c r="C125" s="1" t="str">
        <f t="shared" si="15"/>
        <v/>
      </c>
      <c r="D125" s="1" t="str">
        <f t="shared" si="16"/>
        <v/>
      </c>
      <c r="G125" s="1" t="s">
        <v>146</v>
      </c>
      <c r="H125" s="1">
        <v>33.270000000000003</v>
      </c>
      <c r="I125" s="1" t="s">
        <v>32</v>
      </c>
      <c r="J125" s="13">
        <f t="shared" si="4"/>
        <v>33.270000000000003</v>
      </c>
      <c r="K125" s="1" t="s">
        <v>59</v>
      </c>
    </row>
    <row r="126" spans="1:11">
      <c r="A126" s="1" t="str">
        <f t="shared" si="13"/>
        <v/>
      </c>
      <c r="B126" s="1" t="str">
        <f t="shared" si="14"/>
        <v/>
      </c>
      <c r="C126" s="1" t="str">
        <f t="shared" si="15"/>
        <v/>
      </c>
      <c r="D126" s="1" t="str">
        <f t="shared" si="16"/>
        <v/>
      </c>
      <c r="G126" s="1" t="s">
        <v>147</v>
      </c>
      <c r="H126" s="1">
        <v>18.54</v>
      </c>
      <c r="I126" s="1" t="s">
        <v>32</v>
      </c>
      <c r="J126" s="13">
        <f t="shared" si="4"/>
        <v>18.54</v>
      </c>
      <c r="K126" s="1" t="s">
        <v>24</v>
      </c>
    </row>
    <row r="127" spans="1:11">
      <c r="A127" s="1" t="str">
        <f t="shared" si="13"/>
        <v/>
      </c>
      <c r="B127" s="1" t="str">
        <f t="shared" si="14"/>
        <v/>
      </c>
      <c r="C127" s="1" t="str">
        <f t="shared" si="15"/>
        <v/>
      </c>
      <c r="D127" s="1" t="str">
        <f t="shared" si="16"/>
        <v/>
      </c>
      <c r="G127" s="1" t="s">
        <v>148</v>
      </c>
      <c r="H127" s="1">
        <v>27.56</v>
      </c>
      <c r="I127" s="1" t="s">
        <v>32</v>
      </c>
      <c r="J127" s="13">
        <f t="shared" si="4"/>
        <v>27.56</v>
      </c>
      <c r="K127" s="1" t="s">
        <v>26</v>
      </c>
    </row>
    <row r="128" spans="1:11">
      <c r="A128" s="1" t="str">
        <f t="shared" si="13"/>
        <v/>
      </c>
      <c r="B128" s="1" t="str">
        <f t="shared" si="14"/>
        <v/>
      </c>
      <c r="C128" s="1" t="str">
        <f t="shared" si="15"/>
        <v/>
      </c>
      <c r="D128" s="1" t="str">
        <f t="shared" si="16"/>
        <v/>
      </c>
      <c r="G128" s="1" t="s">
        <v>149</v>
      </c>
      <c r="H128" s="1">
        <v>28.2</v>
      </c>
      <c r="I128" s="1" t="s">
        <v>32</v>
      </c>
      <c r="J128" s="13">
        <f t="shared" si="4"/>
        <v>28.2</v>
      </c>
      <c r="K128" s="1" t="s">
        <v>24</v>
      </c>
    </row>
    <row r="129" spans="1:11">
      <c r="A129" s="1" t="str">
        <f t="shared" si="13"/>
        <v/>
      </c>
      <c r="B129" s="1" t="str">
        <f t="shared" si="14"/>
        <v/>
      </c>
      <c r="C129" s="1" t="str">
        <f t="shared" si="15"/>
        <v/>
      </c>
      <c r="D129" s="1" t="str">
        <f t="shared" si="16"/>
        <v/>
      </c>
      <c r="G129" s="1" t="s">
        <v>87</v>
      </c>
      <c r="H129" s="1">
        <v>184.61</v>
      </c>
      <c r="I129" s="1" t="s">
        <v>32</v>
      </c>
      <c r="J129" s="13">
        <f t="shared" si="4"/>
        <v>184.61</v>
      </c>
      <c r="K129" s="1" t="s">
        <v>24</v>
      </c>
    </row>
    <row r="130" spans="1:11">
      <c r="A130" s="1" t="str">
        <f t="shared" si="13"/>
        <v/>
      </c>
      <c r="B130" s="1" t="str">
        <f t="shared" si="14"/>
        <v/>
      </c>
      <c r="C130" s="1" t="str">
        <f t="shared" si="15"/>
        <v/>
      </c>
      <c r="D130" s="1" t="str">
        <f t="shared" si="16"/>
        <v/>
      </c>
      <c r="G130" s="1" t="s">
        <v>150</v>
      </c>
      <c r="H130" s="1">
        <v>8.3000000000000007</v>
      </c>
      <c r="I130" s="1" t="s">
        <v>32</v>
      </c>
      <c r="J130" s="13">
        <f t="shared" si="4"/>
        <v>8.3000000000000007</v>
      </c>
      <c r="K130" s="1" t="s">
        <v>24</v>
      </c>
    </row>
    <row r="131" spans="1:11">
      <c r="A131" s="1" t="str">
        <f t="shared" si="13"/>
        <v/>
      </c>
      <c r="B131" s="1" t="str">
        <f t="shared" si="14"/>
        <v/>
      </c>
      <c r="C131" s="1" t="str">
        <f t="shared" si="15"/>
        <v/>
      </c>
      <c r="D131" s="1" t="str">
        <f t="shared" si="16"/>
        <v/>
      </c>
      <c r="G131" s="1" t="s">
        <v>151</v>
      </c>
      <c r="H131" s="1">
        <v>59.88</v>
      </c>
      <c r="I131" s="1" t="s">
        <v>32</v>
      </c>
      <c r="J131" s="13">
        <f t="shared" si="4"/>
        <v>59.88</v>
      </c>
      <c r="K131" s="1" t="s">
        <v>24</v>
      </c>
    </row>
    <row r="132" spans="1:11">
      <c r="A132" s="1" t="str">
        <f t="shared" si="13"/>
        <v/>
      </c>
      <c r="B132" s="1" t="str">
        <f t="shared" si="14"/>
        <v/>
      </c>
      <c r="C132" s="1" t="str">
        <f t="shared" si="15"/>
        <v/>
      </c>
      <c r="D132" s="1" t="str">
        <f t="shared" si="16"/>
        <v/>
      </c>
      <c r="G132" s="1" t="s">
        <v>152</v>
      </c>
      <c r="H132" s="1">
        <v>3.4</v>
      </c>
      <c r="I132" s="1" t="s">
        <v>32</v>
      </c>
      <c r="J132" s="13">
        <f t="shared" si="4"/>
        <v>3.4</v>
      </c>
      <c r="K132" s="1" t="s">
        <v>24</v>
      </c>
    </row>
    <row r="133" spans="1:11">
      <c r="A133" s="1" t="str">
        <f t="shared" si="13"/>
        <v/>
      </c>
      <c r="B133" s="1" t="str">
        <f t="shared" si="14"/>
        <v/>
      </c>
      <c r="C133" s="1" t="str">
        <f t="shared" si="15"/>
        <v/>
      </c>
      <c r="D133" s="1" t="str">
        <f t="shared" si="16"/>
        <v/>
      </c>
      <c r="G133" s="1" t="s">
        <v>153</v>
      </c>
      <c r="H133" s="1">
        <v>0.65</v>
      </c>
      <c r="I133" s="1" t="s">
        <v>32</v>
      </c>
      <c r="J133" s="13">
        <f t="shared" si="4"/>
        <v>0.65</v>
      </c>
      <c r="K133" s="1" t="s">
        <v>24</v>
      </c>
    </row>
    <row r="134" spans="1:11">
      <c r="A134" s="1" t="str">
        <f t="shared" si="13"/>
        <v/>
      </c>
      <c r="B134" s="1" t="str">
        <f t="shared" si="14"/>
        <v/>
      </c>
      <c r="C134" s="1" t="str">
        <f t="shared" si="15"/>
        <v/>
      </c>
      <c r="D134" s="1" t="str">
        <f t="shared" si="16"/>
        <v/>
      </c>
      <c r="G134" s="1" t="s">
        <v>154</v>
      </c>
      <c r="H134" s="1">
        <v>16</v>
      </c>
      <c r="I134" s="1" t="s">
        <v>32</v>
      </c>
      <c r="J134" s="13">
        <f t="shared" si="4"/>
        <v>16</v>
      </c>
      <c r="K134" s="1" t="s">
        <v>59</v>
      </c>
    </row>
    <row r="135" spans="1:11">
      <c r="A135" s="1" t="str">
        <f t="shared" si="13"/>
        <v/>
      </c>
      <c r="B135" s="1" t="str">
        <f t="shared" si="14"/>
        <v/>
      </c>
      <c r="C135" s="1" t="str">
        <f t="shared" si="15"/>
        <v/>
      </c>
      <c r="D135" s="1" t="str">
        <f t="shared" si="16"/>
        <v/>
      </c>
      <c r="G135" s="1" t="s">
        <v>111</v>
      </c>
      <c r="H135" s="1">
        <v>8.6</v>
      </c>
      <c r="I135" s="1" t="s">
        <v>32</v>
      </c>
      <c r="J135" s="13">
        <f t="shared" si="4"/>
        <v>8.6</v>
      </c>
      <c r="K135" s="1" t="s">
        <v>24</v>
      </c>
    </row>
    <row r="136" spans="1:11">
      <c r="A136" s="1" t="str">
        <f t="shared" si="13"/>
        <v/>
      </c>
      <c r="B136" s="1" t="str">
        <f t="shared" si="14"/>
        <v/>
      </c>
      <c r="C136" s="1" t="str">
        <f t="shared" si="15"/>
        <v/>
      </c>
      <c r="D136" s="1" t="str">
        <f t="shared" si="16"/>
        <v/>
      </c>
      <c r="G136" s="1" t="s">
        <v>155</v>
      </c>
      <c r="H136" s="1">
        <v>14.99</v>
      </c>
      <c r="I136" s="1" t="s">
        <v>32</v>
      </c>
      <c r="J136" s="13">
        <f t="shared" si="4"/>
        <v>14.99</v>
      </c>
      <c r="K136" s="1" t="s">
        <v>59</v>
      </c>
    </row>
    <row r="137" spans="1:11">
      <c r="A137" s="1" t="str">
        <f t="shared" si="13"/>
        <v/>
      </c>
      <c r="B137" s="1" t="str">
        <f t="shared" si="14"/>
        <v/>
      </c>
      <c r="C137" s="1" t="str">
        <f t="shared" si="15"/>
        <v/>
      </c>
      <c r="D137" s="1" t="str">
        <f t="shared" si="16"/>
        <v/>
      </c>
      <c r="G137" s="1" t="s">
        <v>146</v>
      </c>
      <c r="H137" s="1">
        <v>21.22</v>
      </c>
      <c r="I137" s="1" t="s">
        <v>32</v>
      </c>
      <c r="J137" s="13">
        <f t="shared" si="4"/>
        <v>21.22</v>
      </c>
      <c r="K137" s="1" t="s">
        <v>59</v>
      </c>
    </row>
    <row r="138" spans="1:11">
      <c r="A138" s="1" t="str">
        <f t="shared" si="13"/>
        <v/>
      </c>
      <c r="B138" s="1" t="str">
        <f t="shared" si="14"/>
        <v/>
      </c>
      <c r="C138" s="1" t="str">
        <f t="shared" si="15"/>
        <v/>
      </c>
      <c r="D138" s="1" t="str">
        <f t="shared" si="16"/>
        <v/>
      </c>
      <c r="G138" s="1" t="s">
        <v>160</v>
      </c>
      <c r="H138" s="1">
        <v>157.94999999999999</v>
      </c>
      <c r="I138" s="1" t="s">
        <v>32</v>
      </c>
      <c r="J138" s="13">
        <f t="shared" si="4"/>
        <v>157.94999999999999</v>
      </c>
      <c r="K138" s="1" t="s">
        <v>64</v>
      </c>
    </row>
    <row r="139" spans="1:11">
      <c r="A139" s="1" t="str">
        <f t="shared" si="13"/>
        <v/>
      </c>
      <c r="B139" s="1" t="str">
        <f t="shared" si="14"/>
        <v/>
      </c>
      <c r="C139" s="1" t="str">
        <f t="shared" si="15"/>
        <v/>
      </c>
      <c r="D139" s="1" t="str">
        <f t="shared" si="16"/>
        <v/>
      </c>
      <c r="G139" s="1" t="s">
        <v>162</v>
      </c>
      <c r="H139" s="1">
        <v>156.32</v>
      </c>
      <c r="I139" s="1" t="s">
        <v>32</v>
      </c>
      <c r="J139" s="13">
        <f t="shared" si="4"/>
        <v>156.32</v>
      </c>
      <c r="K139" s="1" t="s">
        <v>98</v>
      </c>
    </row>
    <row r="140" spans="1:11">
      <c r="A140" s="1" t="str">
        <f t="shared" si="13"/>
        <v/>
      </c>
      <c r="B140" s="1" t="str">
        <f t="shared" si="14"/>
        <v/>
      </c>
      <c r="C140" s="1" t="str">
        <f t="shared" si="15"/>
        <v/>
      </c>
      <c r="D140" s="1" t="str">
        <f t="shared" si="16"/>
        <v/>
      </c>
      <c r="G140" s="1" t="s">
        <v>87</v>
      </c>
      <c r="H140" s="1">
        <v>11.62</v>
      </c>
      <c r="I140" s="1" t="s">
        <v>32</v>
      </c>
      <c r="J140" s="13">
        <f t="shared" si="4"/>
        <v>11.62</v>
      </c>
      <c r="K140" s="1" t="s">
        <v>24</v>
      </c>
    </row>
    <row r="141" spans="1:11">
      <c r="A141" s="1" t="str">
        <f t="shared" si="13"/>
        <v/>
      </c>
      <c r="B141" s="1" t="str">
        <f t="shared" si="14"/>
        <v/>
      </c>
      <c r="C141" s="1" t="str">
        <f t="shared" si="15"/>
        <v/>
      </c>
      <c r="D141" s="1" t="str">
        <f t="shared" si="16"/>
        <v/>
      </c>
      <c r="G141" s="1" t="s">
        <v>115</v>
      </c>
      <c r="H141" s="1">
        <v>13</v>
      </c>
      <c r="I141" s="1" t="s">
        <v>32</v>
      </c>
      <c r="J141" s="13">
        <f t="shared" si="4"/>
        <v>13</v>
      </c>
      <c r="K141" s="1" t="s">
        <v>59</v>
      </c>
    </row>
    <row r="142" spans="1:11">
      <c r="A142" s="1" t="str">
        <f t="shared" si="13"/>
        <v/>
      </c>
      <c r="B142" s="1" t="str">
        <f t="shared" si="14"/>
        <v/>
      </c>
      <c r="C142" s="1" t="str">
        <f t="shared" si="15"/>
        <v/>
      </c>
      <c r="D142" s="1" t="str">
        <f t="shared" si="16"/>
        <v/>
      </c>
      <c r="G142" s="1" t="s">
        <v>87</v>
      </c>
      <c r="H142" s="1">
        <v>26.88</v>
      </c>
      <c r="I142" s="1" t="s">
        <v>32</v>
      </c>
      <c r="J142" s="13">
        <f t="shared" si="4"/>
        <v>26.88</v>
      </c>
      <c r="K142" s="1" t="s">
        <v>24</v>
      </c>
    </row>
    <row r="143" spans="1:11">
      <c r="A143" s="1" t="str">
        <f t="shared" si="13"/>
        <v/>
      </c>
      <c r="B143" s="1" t="str">
        <f t="shared" si="14"/>
        <v/>
      </c>
      <c r="C143" s="1" t="str">
        <f t="shared" si="15"/>
        <v/>
      </c>
      <c r="D143" s="1" t="str">
        <f t="shared" si="16"/>
        <v/>
      </c>
      <c r="G143" s="1" t="s">
        <v>165</v>
      </c>
      <c r="H143" s="1">
        <v>29.99</v>
      </c>
      <c r="I143" s="1" t="s">
        <v>32</v>
      </c>
      <c r="J143" s="13">
        <f t="shared" si="4"/>
        <v>29.99</v>
      </c>
      <c r="K143" s="1" t="s">
        <v>98</v>
      </c>
    </row>
    <row r="144" spans="1:11">
      <c r="A144" s="1" t="str">
        <f t="shared" si="13"/>
        <v/>
      </c>
      <c r="B144" s="1" t="str">
        <f t="shared" si="14"/>
        <v/>
      </c>
      <c r="C144" s="1" t="str">
        <f t="shared" si="15"/>
        <v/>
      </c>
      <c r="D144" s="1" t="str">
        <f t="shared" si="16"/>
        <v/>
      </c>
      <c r="G144" s="1" t="s">
        <v>166</v>
      </c>
      <c r="H144" s="1">
        <v>9</v>
      </c>
      <c r="I144" s="1" t="s">
        <v>32</v>
      </c>
      <c r="J144" s="13">
        <f t="shared" si="4"/>
        <v>9</v>
      </c>
      <c r="K144" s="1" t="s">
        <v>59</v>
      </c>
    </row>
    <row r="145" spans="1:11">
      <c r="A145" s="1" t="str">
        <f t="shared" si="13"/>
        <v/>
      </c>
      <c r="B145" s="1" t="str">
        <f t="shared" si="14"/>
        <v/>
      </c>
      <c r="C145" s="1" t="str">
        <f t="shared" si="15"/>
        <v/>
      </c>
      <c r="D145" s="1" t="str">
        <f t="shared" si="16"/>
        <v/>
      </c>
      <c r="G145" s="1" t="s">
        <v>94</v>
      </c>
      <c r="H145" s="1">
        <v>256.37</v>
      </c>
      <c r="I145" s="1" t="s">
        <v>32</v>
      </c>
      <c r="J145" s="13">
        <f t="shared" si="4"/>
        <v>256.37</v>
      </c>
      <c r="K145" s="1" t="s">
        <v>64</v>
      </c>
    </row>
    <row r="146" spans="1:11">
      <c r="A146" s="1" t="str">
        <f t="shared" si="13"/>
        <v/>
      </c>
      <c r="B146" s="1" t="str">
        <f t="shared" si="14"/>
        <v/>
      </c>
      <c r="C146" s="1" t="str">
        <f t="shared" si="15"/>
        <v/>
      </c>
      <c r="D146" s="1" t="str">
        <f t="shared" si="16"/>
        <v/>
      </c>
      <c r="G146" s="1" t="s">
        <v>87</v>
      </c>
      <c r="H146" s="1">
        <v>24.32</v>
      </c>
      <c r="I146" s="1" t="s">
        <v>32</v>
      </c>
      <c r="J146" s="13">
        <f t="shared" si="4"/>
        <v>24.32</v>
      </c>
      <c r="K146" s="1" t="s">
        <v>24</v>
      </c>
    </row>
    <row r="147" spans="1:11">
      <c r="A147" s="1" t="str">
        <f t="shared" si="13"/>
        <v/>
      </c>
      <c r="B147" s="1" t="str">
        <f t="shared" si="14"/>
        <v/>
      </c>
      <c r="C147" s="1" t="str">
        <f t="shared" si="15"/>
        <v/>
      </c>
      <c r="D147" s="1" t="str">
        <f t="shared" si="16"/>
        <v/>
      </c>
      <c r="G147" s="1" t="s">
        <v>167</v>
      </c>
      <c r="H147" s="1">
        <v>284.32</v>
      </c>
      <c r="I147" s="1" t="s">
        <v>32</v>
      </c>
      <c r="J147" s="13">
        <f t="shared" si="4"/>
        <v>284.32</v>
      </c>
      <c r="K147" s="1" t="s">
        <v>24</v>
      </c>
    </row>
    <row r="148" spans="1:11">
      <c r="A148" s="1" t="str">
        <f t="shared" si="13"/>
        <v/>
      </c>
      <c r="B148" s="1" t="str">
        <f t="shared" si="14"/>
        <v/>
      </c>
      <c r="C148" s="1" t="str">
        <f t="shared" si="15"/>
        <v/>
      </c>
      <c r="D148" s="1" t="str">
        <f t="shared" si="16"/>
        <v/>
      </c>
      <c r="G148" s="1" t="s">
        <v>141</v>
      </c>
      <c r="H148" s="1">
        <v>6.5</v>
      </c>
      <c r="I148" s="1" t="s">
        <v>32</v>
      </c>
      <c r="J148" s="13">
        <f t="shared" si="4"/>
        <v>6.5</v>
      </c>
      <c r="K148" s="1" t="s">
        <v>24</v>
      </c>
    </row>
    <row r="149" spans="1:11">
      <c r="A149" s="1" t="str">
        <f t="shared" si="13"/>
        <v/>
      </c>
      <c r="B149" s="1" t="str">
        <f t="shared" si="14"/>
        <v/>
      </c>
      <c r="C149" s="1" t="str">
        <f t="shared" si="15"/>
        <v/>
      </c>
      <c r="D149" s="1" t="str">
        <f t="shared" si="16"/>
        <v/>
      </c>
      <c r="G149" s="1" t="s">
        <v>168</v>
      </c>
      <c r="H149" s="1">
        <v>131.99</v>
      </c>
      <c r="I149" s="1" t="s">
        <v>32</v>
      </c>
      <c r="J149" s="13">
        <f t="shared" si="4"/>
        <v>131.99</v>
      </c>
      <c r="K149" s="1" t="s">
        <v>98</v>
      </c>
    </row>
    <row r="150" spans="1:11">
      <c r="A150" s="1" t="str">
        <f t="shared" si="13"/>
        <v/>
      </c>
      <c r="B150" s="1" t="str">
        <f t="shared" si="14"/>
        <v/>
      </c>
      <c r="C150" s="1" t="str">
        <f t="shared" si="15"/>
        <v/>
      </c>
      <c r="D150" s="1" t="str">
        <f t="shared" si="16"/>
        <v/>
      </c>
      <c r="G150" s="1" t="s">
        <v>169</v>
      </c>
      <c r="H150" s="1">
        <v>156.32</v>
      </c>
      <c r="I150" s="1" t="s">
        <v>32</v>
      </c>
      <c r="J150" s="13">
        <f t="shared" si="4"/>
        <v>156.32</v>
      </c>
      <c r="K150" s="1" t="s">
        <v>98</v>
      </c>
    </row>
    <row r="151" spans="1:11">
      <c r="A151" s="1" t="str">
        <f t="shared" si="13"/>
        <v/>
      </c>
      <c r="B151" s="1" t="str">
        <f t="shared" si="14"/>
        <v/>
      </c>
      <c r="C151" s="1" t="str">
        <f t="shared" si="15"/>
        <v/>
      </c>
      <c r="D151" s="1" t="str">
        <f t="shared" si="16"/>
        <v/>
      </c>
      <c r="G151" s="1" t="s">
        <v>121</v>
      </c>
      <c r="H151" s="1">
        <v>202</v>
      </c>
      <c r="I151" s="1" t="s">
        <v>32</v>
      </c>
      <c r="J151" s="13">
        <f t="shared" si="4"/>
        <v>202</v>
      </c>
      <c r="K151" s="1" t="s">
        <v>98</v>
      </c>
    </row>
    <row r="152" spans="1:11">
      <c r="A152" s="1" t="str">
        <f t="shared" si="13"/>
        <v/>
      </c>
      <c r="B152" s="1" t="str">
        <f t="shared" si="14"/>
        <v/>
      </c>
      <c r="C152" s="1" t="str">
        <f t="shared" si="15"/>
        <v/>
      </c>
      <c r="D152" s="1" t="str">
        <f t="shared" si="16"/>
        <v/>
      </c>
      <c r="G152" s="1" t="s">
        <v>111</v>
      </c>
      <c r="H152" s="1">
        <v>5.6</v>
      </c>
      <c r="I152" s="1" t="s">
        <v>32</v>
      </c>
      <c r="J152" s="13">
        <f t="shared" si="4"/>
        <v>5.6</v>
      </c>
      <c r="K152" s="1" t="s">
        <v>24</v>
      </c>
    </row>
    <row r="153" spans="1:11">
      <c r="A153" s="1" t="str">
        <f t="shared" si="13"/>
        <v/>
      </c>
      <c r="B153" s="1" t="str">
        <f t="shared" si="14"/>
        <v/>
      </c>
      <c r="C153" s="1" t="str">
        <f t="shared" si="15"/>
        <v/>
      </c>
      <c r="D153" s="1" t="str">
        <f t="shared" si="16"/>
        <v/>
      </c>
      <c r="G153" s="1" t="s">
        <v>111</v>
      </c>
      <c r="H153" s="1">
        <v>20</v>
      </c>
      <c r="I153" s="1" t="s">
        <v>32</v>
      </c>
      <c r="J153" s="13">
        <f t="shared" si="4"/>
        <v>20</v>
      </c>
      <c r="K153" s="1" t="s">
        <v>24</v>
      </c>
    </row>
    <row r="154" spans="1:11">
      <c r="A154" s="1" t="str">
        <f t="shared" si="13"/>
        <v>Reste prévu</v>
      </c>
      <c r="B154" s="1" t="e">
        <f t="shared" si="14"/>
        <v>#REF!</v>
      </c>
      <c r="C154" s="1" t="str">
        <f t="shared" si="15"/>
        <v>Reste réel</v>
      </c>
      <c r="D154" s="1" t="e">
        <f t="shared" si="16"/>
        <v>#REF!</v>
      </c>
      <c r="J154" s="13">
        <f t="shared" si="4"/>
        <v>0</v>
      </c>
      <c r="K154" s="1" t="s">
        <v>89</v>
      </c>
    </row>
    <row r="155" spans="1:11">
      <c r="A155" s="1" t="str">
        <f t="shared" si="13"/>
        <v/>
      </c>
      <c r="B155" s="1" t="str">
        <f t="shared" si="14"/>
        <v/>
      </c>
      <c r="C155" s="1" t="str">
        <f t="shared" si="15"/>
        <v/>
      </c>
      <c r="D155" s="1" t="str">
        <f t="shared" si="16"/>
        <v/>
      </c>
      <c r="J155" s="13">
        <f t="shared" si="4"/>
        <v>0</v>
      </c>
      <c r="K155" s="1" t="s">
        <v>98</v>
      </c>
    </row>
    <row r="156" spans="1:11">
      <c r="A156" s="1" t="str">
        <f t="shared" si="13"/>
        <v/>
      </c>
      <c r="B156" s="1" t="str">
        <f t="shared" si="14"/>
        <v/>
      </c>
      <c r="C156" s="1" t="str">
        <f t="shared" si="15"/>
        <v/>
      </c>
      <c r="D156" s="1" t="str">
        <f t="shared" si="16"/>
        <v/>
      </c>
      <c r="J156" s="13">
        <f t="shared" si="4"/>
        <v>0</v>
      </c>
      <c r="K156" s="1" t="s">
        <v>89</v>
      </c>
    </row>
    <row r="157" spans="1:11">
      <c r="A157" s="1" t="str">
        <f t="shared" si="13"/>
        <v/>
      </c>
      <c r="B157" s="1" t="str">
        <f t="shared" si="14"/>
        <v/>
      </c>
      <c r="C157" s="1" t="str">
        <f t="shared" si="15"/>
        <v/>
      </c>
      <c r="D157" s="1" t="str">
        <f t="shared" si="16"/>
        <v/>
      </c>
      <c r="J157" s="13">
        <f t="shared" si="4"/>
        <v>0</v>
      </c>
      <c r="K157" s="1" t="s">
        <v>26</v>
      </c>
    </row>
    <row r="158" spans="1:11">
      <c r="A158" s="1" t="str">
        <f t="shared" si="13"/>
        <v/>
      </c>
      <c r="B158" s="1" t="str">
        <f t="shared" si="14"/>
        <v/>
      </c>
      <c r="C158" s="1" t="str">
        <f t="shared" si="15"/>
        <v/>
      </c>
      <c r="D158" s="1" t="str">
        <f t="shared" si="16"/>
        <v/>
      </c>
      <c r="J158" s="13">
        <f t="shared" si="4"/>
        <v>0</v>
      </c>
      <c r="K158" s="1"/>
    </row>
    <row r="159" spans="1:11">
      <c r="A159" s="1" t="str">
        <f t="shared" si="13"/>
        <v/>
      </c>
      <c r="B159" s="1" t="str">
        <f t="shared" si="14"/>
        <v/>
      </c>
      <c r="C159" s="1" t="str">
        <f t="shared" si="15"/>
        <v/>
      </c>
      <c r="D159" s="1" t="str">
        <f t="shared" si="16"/>
        <v/>
      </c>
      <c r="J159" s="13">
        <f t="shared" si="4"/>
        <v>0</v>
      </c>
      <c r="K159" s="1"/>
    </row>
    <row r="160" spans="1:11">
      <c r="A160" s="1" t="str">
        <f t="shared" si="13"/>
        <v/>
      </c>
      <c r="B160" s="1" t="str">
        <f t="shared" si="14"/>
        <v/>
      </c>
      <c r="C160" s="1" t="str">
        <f t="shared" si="15"/>
        <v/>
      </c>
      <c r="D160" s="1" t="str">
        <f t="shared" si="16"/>
        <v/>
      </c>
      <c r="J160" s="13">
        <f t="shared" si="4"/>
        <v>0</v>
      </c>
      <c r="K160" s="1"/>
    </row>
    <row r="161" spans="1:11">
      <c r="A161" s="1" t="str">
        <f t="shared" si="13"/>
        <v/>
      </c>
      <c r="B161" s="1" t="str">
        <f t="shared" si="14"/>
        <v/>
      </c>
      <c r="C161" s="1" t="str">
        <f t="shared" si="15"/>
        <v/>
      </c>
      <c r="D161" s="1" t="str">
        <f t="shared" si="16"/>
        <v/>
      </c>
      <c r="J161" s="13">
        <f t="shared" si="4"/>
        <v>0</v>
      </c>
      <c r="K161" s="1"/>
    </row>
    <row r="162" spans="1:11">
      <c r="A162" s="1" t="str">
        <f t="shared" si="13"/>
        <v/>
      </c>
      <c r="B162" s="1" t="str">
        <f t="shared" si="14"/>
        <v/>
      </c>
      <c r="C162" s="1" t="str">
        <f t="shared" si="15"/>
        <v/>
      </c>
      <c r="D162" s="1" t="str">
        <f t="shared" si="16"/>
        <v/>
      </c>
      <c r="J162" s="13">
        <f t="shared" si="4"/>
        <v>0</v>
      </c>
    </row>
    <row r="163" spans="1:11">
      <c r="A163" s="1" t="str">
        <f t="shared" si="13"/>
        <v/>
      </c>
      <c r="B163" s="1" t="str">
        <f t="shared" si="14"/>
        <v/>
      </c>
      <c r="C163" s="1" t="str">
        <f t="shared" si="15"/>
        <v/>
      </c>
      <c r="D163" s="1" t="str">
        <f t="shared" si="16"/>
        <v/>
      </c>
      <c r="J163" s="13">
        <f t="shared" si="4"/>
        <v>0</v>
      </c>
    </row>
    <row r="164" spans="1:11">
      <c r="A164" s="1" t="str">
        <f t="shared" si="13"/>
        <v/>
      </c>
      <c r="B164" s="1" t="str">
        <f t="shared" si="14"/>
        <v/>
      </c>
      <c r="C164" s="1" t="str">
        <f t="shared" si="15"/>
        <v/>
      </c>
      <c r="D164" s="1" t="str">
        <f t="shared" si="16"/>
        <v/>
      </c>
      <c r="J164" s="13">
        <f t="shared" si="4"/>
        <v>0</v>
      </c>
    </row>
    <row r="165" spans="1:11">
      <c r="A165" s="1" t="str">
        <f t="shared" si="13"/>
        <v/>
      </c>
      <c r="B165" s="1" t="str">
        <f t="shared" si="14"/>
        <v/>
      </c>
      <c r="C165" s="1" t="str">
        <f t="shared" si="15"/>
        <v/>
      </c>
      <c r="D165" s="1" t="str">
        <f t="shared" si="16"/>
        <v/>
      </c>
      <c r="J165" s="13">
        <f t="shared" si="4"/>
        <v>0</v>
      </c>
      <c r="K165" s="1"/>
    </row>
    <row r="166" spans="1:11">
      <c r="A166" s="1" t="str">
        <f t="shared" si="13"/>
        <v/>
      </c>
      <c r="B166" s="1" t="str">
        <f t="shared" si="14"/>
        <v/>
      </c>
      <c r="C166" s="1" t="str">
        <f t="shared" si="15"/>
        <v/>
      </c>
      <c r="D166" s="1" t="str">
        <f t="shared" si="16"/>
        <v/>
      </c>
      <c r="J166" s="13">
        <f t="shared" si="4"/>
        <v>0</v>
      </c>
      <c r="K166" s="1"/>
    </row>
    <row r="167" spans="1:11">
      <c r="A167" s="1" t="str">
        <f t="shared" si="13"/>
        <v/>
      </c>
      <c r="B167" s="1" t="str">
        <f t="shared" si="14"/>
        <v/>
      </c>
      <c r="C167" s="1" t="str">
        <f t="shared" si="15"/>
        <v/>
      </c>
      <c r="D167" s="1" t="str">
        <f t="shared" si="16"/>
        <v/>
      </c>
      <c r="J167" s="13">
        <f t="shared" si="4"/>
        <v>0</v>
      </c>
      <c r="K167" s="1"/>
    </row>
    <row r="168" spans="1:11">
      <c r="A168" s="1" t="str">
        <f t="shared" si="13"/>
        <v/>
      </c>
      <c r="B168" s="1" t="str">
        <f t="shared" si="14"/>
        <v/>
      </c>
      <c r="C168" s="1" t="str">
        <f t="shared" si="15"/>
        <v/>
      </c>
      <c r="D168" s="1" t="str">
        <f t="shared" si="16"/>
        <v/>
      </c>
      <c r="J168" s="13">
        <f t="shared" si="4"/>
        <v>0</v>
      </c>
      <c r="K168" s="1"/>
    </row>
    <row r="169" spans="1:11">
      <c r="A169" s="1" t="str">
        <f t="shared" si="13"/>
        <v/>
      </c>
      <c r="B169" s="1" t="str">
        <f t="shared" si="14"/>
        <v/>
      </c>
      <c r="C169" s="1" t="str">
        <f t="shared" si="15"/>
        <v/>
      </c>
      <c r="D169" s="1" t="str">
        <f t="shared" si="16"/>
        <v/>
      </c>
      <c r="J169" s="13">
        <f t="shared" si="4"/>
        <v>0</v>
      </c>
      <c r="K169" s="1"/>
    </row>
    <row r="170" spans="1:11">
      <c r="A170" s="1" t="str">
        <f t="shared" si="13"/>
        <v/>
      </c>
      <c r="B170" s="1" t="str">
        <f t="shared" si="14"/>
        <v/>
      </c>
      <c r="C170" s="1" t="str">
        <f t="shared" si="15"/>
        <v/>
      </c>
      <c r="D170" s="1" t="str">
        <f t="shared" si="16"/>
        <v/>
      </c>
      <c r="J170" s="13">
        <f t="shared" si="4"/>
        <v>0</v>
      </c>
      <c r="K170" s="1"/>
    </row>
    <row r="171" spans="1:11">
      <c r="A171" s="1" t="str">
        <f t="shared" si="13"/>
        <v/>
      </c>
      <c r="B171" s="1" t="str">
        <f t="shared" si="14"/>
        <v/>
      </c>
      <c r="C171" s="1" t="str">
        <f t="shared" si="15"/>
        <v/>
      </c>
      <c r="D171" s="1" t="str">
        <f t="shared" si="16"/>
        <v/>
      </c>
      <c r="J171" s="13">
        <f t="shared" si="4"/>
        <v>0</v>
      </c>
      <c r="K171" s="1"/>
    </row>
    <row r="172" spans="1:11">
      <c r="A172" s="1" t="str">
        <f t="shared" si="13"/>
        <v/>
      </c>
      <c r="B172" s="1" t="str">
        <f t="shared" si="14"/>
        <v/>
      </c>
      <c r="C172" s="1" t="str">
        <f t="shared" si="15"/>
        <v/>
      </c>
      <c r="D172" s="1" t="str">
        <f t="shared" si="16"/>
        <v/>
      </c>
      <c r="J172" s="13">
        <f t="shared" si="4"/>
        <v>0</v>
      </c>
      <c r="K172" s="1"/>
    </row>
    <row r="173" spans="1:11">
      <c r="A173" s="1" t="str">
        <f t="shared" si="13"/>
        <v/>
      </c>
      <c r="B173" s="1" t="str">
        <f t="shared" si="14"/>
        <v/>
      </c>
      <c r="C173" s="1" t="str">
        <f t="shared" si="15"/>
        <v/>
      </c>
      <c r="D173" s="1" t="str">
        <f t="shared" si="16"/>
        <v/>
      </c>
      <c r="J173" s="13">
        <f t="shared" si="4"/>
        <v>0</v>
      </c>
      <c r="K173" s="1"/>
    </row>
    <row r="174" spans="1:11">
      <c r="A174" s="1" t="str">
        <f t="shared" si="13"/>
        <v/>
      </c>
      <c r="B174" s="1" t="str">
        <f t="shared" si="14"/>
        <v/>
      </c>
      <c r="C174" s="1" t="str">
        <f t="shared" si="15"/>
        <v/>
      </c>
      <c r="D174" s="1" t="str">
        <f t="shared" si="16"/>
        <v/>
      </c>
      <c r="J174" s="13">
        <f t="shared" si="4"/>
        <v>0</v>
      </c>
      <c r="K174" s="1"/>
    </row>
    <row r="175" spans="1:11">
      <c r="A175" s="1" t="str">
        <f t="shared" si="13"/>
        <v/>
      </c>
      <c r="B175" s="1" t="str">
        <f t="shared" si="14"/>
        <v/>
      </c>
      <c r="C175" s="1" t="str">
        <f t="shared" si="15"/>
        <v/>
      </c>
      <c r="D175" s="1" t="str">
        <f t="shared" si="16"/>
        <v/>
      </c>
      <c r="J175" s="13">
        <f t="shared" si="4"/>
        <v>0</v>
      </c>
      <c r="K175" s="1"/>
    </row>
    <row r="176" spans="1:11">
      <c r="A176" s="1" t="str">
        <f t="shared" si="13"/>
        <v/>
      </c>
      <c r="B176" s="1" t="str">
        <f t="shared" si="14"/>
        <v/>
      </c>
      <c r="C176" s="1" t="str">
        <f t="shared" si="15"/>
        <v/>
      </c>
      <c r="D176" s="1" t="str">
        <f t="shared" si="16"/>
        <v/>
      </c>
      <c r="J176" s="13">
        <f t="shared" si="4"/>
        <v>0</v>
      </c>
      <c r="K176" s="1"/>
    </row>
    <row r="177" spans="1:11">
      <c r="A177" s="1" t="str">
        <f t="shared" si="13"/>
        <v/>
      </c>
      <c r="B177" s="1" t="str">
        <f t="shared" si="14"/>
        <v/>
      </c>
      <c r="C177" s="1" t="str">
        <f t="shared" si="15"/>
        <v/>
      </c>
      <c r="D177" s="1" t="str">
        <f t="shared" si="16"/>
        <v/>
      </c>
      <c r="J177" s="13">
        <f t="shared" si="4"/>
        <v>0</v>
      </c>
      <c r="K177" s="1"/>
    </row>
    <row r="178" spans="1:11">
      <c r="A178" s="1" t="str">
        <f t="shared" si="13"/>
        <v/>
      </c>
      <c r="B178" s="1" t="str">
        <f t="shared" si="14"/>
        <v/>
      </c>
      <c r="C178" s="1" t="str">
        <f t="shared" si="15"/>
        <v/>
      </c>
      <c r="D178" s="1" t="str">
        <f t="shared" si="16"/>
        <v/>
      </c>
      <c r="J178" s="13">
        <f t="shared" si="4"/>
        <v>0</v>
      </c>
      <c r="K178" s="1"/>
    </row>
    <row r="179" spans="1:11">
      <c r="A179" s="1" t="str">
        <f t="shared" si="13"/>
        <v/>
      </c>
      <c r="B179" s="1" t="str">
        <f t="shared" si="14"/>
        <v/>
      </c>
      <c r="C179" s="1" t="str">
        <f t="shared" si="15"/>
        <v/>
      </c>
      <c r="D179" s="1" t="str">
        <f t="shared" si="16"/>
        <v/>
      </c>
      <c r="J179" s="13">
        <f t="shared" si="4"/>
        <v>0</v>
      </c>
      <c r="K179" s="1"/>
    </row>
    <row r="180" spans="1:11">
      <c r="A180" s="1" t="str">
        <f t="shared" si="13"/>
        <v/>
      </c>
      <c r="B180" s="1" t="str">
        <f t="shared" si="14"/>
        <v/>
      </c>
      <c r="C180" s="1" t="str">
        <f t="shared" si="15"/>
        <v/>
      </c>
      <c r="D180" s="1" t="str">
        <f t="shared" si="16"/>
        <v/>
      </c>
      <c r="J180" s="13">
        <f t="shared" si="4"/>
        <v>0</v>
      </c>
      <c r="K180" s="1"/>
    </row>
    <row r="181" spans="1:11">
      <c r="A181" s="1" t="str">
        <f t="shared" si="13"/>
        <v/>
      </c>
      <c r="B181" s="1" t="str">
        <f t="shared" si="14"/>
        <v/>
      </c>
      <c r="C181" s="1" t="str">
        <f t="shared" si="15"/>
        <v/>
      </c>
      <c r="D181" s="1" t="str">
        <f t="shared" si="16"/>
        <v/>
      </c>
      <c r="J181" s="13">
        <f t="shared" si="4"/>
        <v>0</v>
      </c>
      <c r="K181" s="1"/>
    </row>
    <row r="182" spans="1:11">
      <c r="A182" s="1" t="str">
        <f t="shared" si="13"/>
        <v/>
      </c>
      <c r="B182" s="1" t="str">
        <f t="shared" si="14"/>
        <v/>
      </c>
      <c r="C182" s="1" t="str">
        <f t="shared" si="15"/>
        <v/>
      </c>
      <c r="D182" s="1" t="str">
        <f t="shared" si="16"/>
        <v/>
      </c>
      <c r="J182" s="13">
        <f t="shared" si="4"/>
        <v>0</v>
      </c>
      <c r="K182" s="1"/>
    </row>
    <row r="183" spans="1:11">
      <c r="A183" s="1" t="str">
        <f t="shared" si="13"/>
        <v/>
      </c>
      <c r="B183" s="1" t="str">
        <f t="shared" si="14"/>
        <v/>
      </c>
      <c r="C183" s="1" t="str">
        <f t="shared" si="15"/>
        <v/>
      </c>
      <c r="D183" s="1" t="str">
        <f t="shared" si="16"/>
        <v/>
      </c>
      <c r="J183" s="13">
        <f t="shared" si="4"/>
        <v>0</v>
      </c>
      <c r="K183" s="1"/>
    </row>
    <row r="184" spans="1:11">
      <c r="A184" s="1" t="str">
        <f t="shared" si="13"/>
        <v/>
      </c>
      <c r="B184" s="1" t="str">
        <f t="shared" si="14"/>
        <v/>
      </c>
      <c r="C184" s="1" t="str">
        <f t="shared" si="15"/>
        <v/>
      </c>
      <c r="D184" s="1" t="str">
        <f t="shared" si="16"/>
        <v/>
      </c>
      <c r="J184" s="13">
        <f t="shared" si="4"/>
        <v>0</v>
      </c>
      <c r="K184" s="1"/>
    </row>
    <row r="185" spans="1:11">
      <c r="A185" s="1" t="str">
        <f t="shared" si="13"/>
        <v/>
      </c>
      <c r="B185" s="1" t="str">
        <f t="shared" si="14"/>
        <v/>
      </c>
      <c r="C185" s="1" t="str">
        <f t="shared" si="15"/>
        <v/>
      </c>
      <c r="D185" s="1" t="str">
        <f t="shared" si="16"/>
        <v/>
      </c>
      <c r="J185" s="13">
        <f t="shared" si="4"/>
        <v>0</v>
      </c>
      <c r="K185" s="1"/>
    </row>
    <row r="186" spans="1:11">
      <c r="A186" s="1" t="str">
        <f t="shared" si="13"/>
        <v/>
      </c>
      <c r="B186" s="1" t="str">
        <f t="shared" si="14"/>
        <v/>
      </c>
      <c r="C186" s="1" t="str">
        <f t="shared" si="15"/>
        <v/>
      </c>
      <c r="D186" s="1" t="str">
        <f t="shared" si="16"/>
        <v/>
      </c>
      <c r="J186" s="13">
        <f t="shared" si="4"/>
        <v>0</v>
      </c>
      <c r="K186" s="1"/>
    </row>
    <row r="187" spans="1:11">
      <c r="A187" s="1" t="str">
        <f t="shared" si="13"/>
        <v/>
      </c>
      <c r="B187" s="1" t="str">
        <f t="shared" si="14"/>
        <v/>
      </c>
      <c r="C187" s="1" t="str">
        <f t="shared" si="15"/>
        <v/>
      </c>
      <c r="D187" s="1" t="str">
        <f t="shared" si="16"/>
        <v/>
      </c>
      <c r="J187" s="13">
        <f t="shared" si="4"/>
        <v>0</v>
      </c>
      <c r="K187" s="1"/>
    </row>
    <row r="188" spans="1:11">
      <c r="A188" s="1" t="str">
        <f t="shared" si="13"/>
        <v/>
      </c>
      <c r="B188" s="1" t="str">
        <f t="shared" si="14"/>
        <v/>
      </c>
      <c r="C188" s="1" t="str">
        <f t="shared" si="15"/>
        <v/>
      </c>
      <c r="D188" s="1" t="str">
        <f t="shared" si="16"/>
        <v/>
      </c>
      <c r="J188" s="13">
        <f t="shared" si="4"/>
        <v>0</v>
      </c>
      <c r="K188" s="1"/>
    </row>
    <row r="189" spans="1:11">
      <c r="A189" s="1" t="str">
        <f t="shared" si="13"/>
        <v/>
      </c>
      <c r="B189" s="1" t="str">
        <f t="shared" si="14"/>
        <v/>
      </c>
      <c r="C189" s="1" t="str">
        <f t="shared" si="15"/>
        <v/>
      </c>
      <c r="D189" s="1" t="str">
        <f t="shared" si="16"/>
        <v/>
      </c>
      <c r="J189" s="13">
        <f t="shared" si="4"/>
        <v>0</v>
      </c>
      <c r="K189" s="1"/>
    </row>
    <row r="190" spans="1:11">
      <c r="A190" s="1" t="str">
        <f t="shared" si="13"/>
        <v/>
      </c>
      <c r="B190" s="1" t="str">
        <f t="shared" si="14"/>
        <v/>
      </c>
      <c r="C190" s="1" t="str">
        <f t="shared" si="15"/>
        <v/>
      </c>
      <c r="D190" s="1" t="str">
        <f t="shared" si="16"/>
        <v/>
      </c>
      <c r="J190" s="13">
        <f t="shared" si="4"/>
        <v>0</v>
      </c>
      <c r="K190" s="1"/>
    </row>
    <row r="191" spans="1:11">
      <c r="A191" s="1" t="str">
        <f t="shared" si="13"/>
        <v/>
      </c>
      <c r="B191" s="1" t="str">
        <f t="shared" si="14"/>
        <v/>
      </c>
      <c r="C191" s="1" t="str">
        <f t="shared" si="15"/>
        <v/>
      </c>
      <c r="D191" s="1" t="str">
        <f t="shared" si="16"/>
        <v/>
      </c>
      <c r="J191" s="13">
        <f t="shared" si="4"/>
        <v>0</v>
      </c>
      <c r="K191" s="1"/>
    </row>
    <row r="192" spans="1:11">
      <c r="A192" s="1" t="str">
        <f t="shared" si="13"/>
        <v/>
      </c>
      <c r="B192" s="1" t="str">
        <f t="shared" si="14"/>
        <v/>
      </c>
      <c r="C192" s="1" t="str">
        <f t="shared" si="15"/>
        <v/>
      </c>
      <c r="D192" s="1" t="str">
        <f t="shared" si="16"/>
        <v/>
      </c>
      <c r="J192" s="13">
        <f t="shared" si="4"/>
        <v>0</v>
      </c>
      <c r="K192" s="1"/>
    </row>
    <row r="193" spans="1:11">
      <c r="A193" s="1" t="str">
        <f t="shared" si="13"/>
        <v/>
      </c>
      <c r="B193" s="1" t="str">
        <f t="shared" si="14"/>
        <v/>
      </c>
      <c r="C193" s="1" t="str">
        <f t="shared" si="15"/>
        <v/>
      </c>
      <c r="D193" s="1" t="str">
        <f t="shared" si="16"/>
        <v/>
      </c>
      <c r="J193" s="13">
        <f t="shared" si="4"/>
        <v>0</v>
      </c>
      <c r="K193" s="1"/>
    </row>
    <row r="194" spans="1:11">
      <c r="A194" s="1" t="str">
        <f t="shared" si="13"/>
        <v/>
      </c>
      <c r="B194" s="1" t="str">
        <f t="shared" si="14"/>
        <v/>
      </c>
      <c r="C194" s="1" t="str">
        <f t="shared" si="15"/>
        <v/>
      </c>
      <c r="D194" s="1" t="str">
        <f t="shared" si="16"/>
        <v/>
      </c>
      <c r="J194" s="13">
        <f t="shared" si="4"/>
        <v>0</v>
      </c>
      <c r="K194" s="1"/>
    </row>
    <row r="195" spans="1:11">
      <c r="A195" s="1" t="str">
        <f t="shared" si="13"/>
        <v/>
      </c>
      <c r="B195" s="1" t="str">
        <f t="shared" si="14"/>
        <v/>
      </c>
      <c r="C195" s="1" t="str">
        <f t="shared" si="15"/>
        <v/>
      </c>
      <c r="D195" s="1" t="str">
        <f t="shared" si="16"/>
        <v/>
      </c>
      <c r="J195" s="13">
        <f t="shared" si="4"/>
        <v>0</v>
      </c>
      <c r="K195" s="1"/>
    </row>
    <row r="196" spans="1:11">
      <c r="A196" s="1" t="str">
        <f t="shared" si="13"/>
        <v/>
      </c>
      <c r="B196" s="1" t="str">
        <f t="shared" si="14"/>
        <v/>
      </c>
      <c r="C196" s="1" t="str">
        <f t="shared" si="15"/>
        <v/>
      </c>
      <c r="D196" s="1" t="str">
        <f t="shared" si="16"/>
        <v/>
      </c>
      <c r="J196" s="13">
        <f t="shared" si="4"/>
        <v>0</v>
      </c>
      <c r="K196" s="1"/>
    </row>
    <row r="197" spans="1:11">
      <c r="A197" s="1" t="str">
        <f t="shared" si="13"/>
        <v/>
      </c>
      <c r="B197" s="1" t="str">
        <f t="shared" si="14"/>
        <v/>
      </c>
      <c r="C197" s="1" t="str">
        <f t="shared" si="15"/>
        <v/>
      </c>
      <c r="D197" s="1" t="str">
        <f t="shared" si="16"/>
        <v/>
      </c>
      <c r="J197" s="13">
        <f t="shared" si="4"/>
        <v>0</v>
      </c>
      <c r="K197" s="1"/>
    </row>
    <row r="198" spans="1:11">
      <c r="A198" s="1" t="str">
        <f t="shared" si="13"/>
        <v/>
      </c>
      <c r="B198" s="1" t="str">
        <f t="shared" si="14"/>
        <v/>
      </c>
      <c r="C198" s="1" t="str">
        <f t="shared" si="15"/>
        <v/>
      </c>
      <c r="D198" s="1" t="str">
        <f t="shared" si="16"/>
        <v/>
      </c>
      <c r="J198" s="13">
        <f t="shared" si="4"/>
        <v>0</v>
      </c>
      <c r="K198" s="1"/>
    </row>
    <row r="199" spans="1:11">
      <c r="A199" s="1" t="str">
        <f t="shared" si="13"/>
        <v/>
      </c>
      <c r="B199" s="1" t="str">
        <f t="shared" si="14"/>
        <v/>
      </c>
      <c r="C199" s="1" t="str">
        <f t="shared" si="15"/>
        <v/>
      </c>
      <c r="D199" s="1" t="str">
        <f t="shared" si="16"/>
        <v/>
      </c>
      <c r="J199" s="13">
        <f t="shared" si="4"/>
        <v>0</v>
      </c>
      <c r="K199" s="1"/>
    </row>
    <row r="200" spans="1:11">
      <c r="A200" s="1" t="str">
        <f t="shared" si="13"/>
        <v/>
      </c>
      <c r="B200" s="1" t="str">
        <f t="shared" si="14"/>
        <v/>
      </c>
      <c r="C200" s="1" t="str">
        <f t="shared" si="15"/>
        <v/>
      </c>
      <c r="D200" s="1" t="str">
        <f t="shared" si="16"/>
        <v/>
      </c>
      <c r="J200" s="13">
        <f t="shared" si="4"/>
        <v>0</v>
      </c>
      <c r="K200" s="1"/>
    </row>
    <row r="201" spans="1:11">
      <c r="A201" s="1" t="str">
        <f t="shared" si="13"/>
        <v/>
      </c>
      <c r="B201" s="1" t="str">
        <f t="shared" si="14"/>
        <v/>
      </c>
      <c r="C201" s="1" t="str">
        <f t="shared" si="15"/>
        <v/>
      </c>
      <c r="D201" s="1" t="str">
        <f t="shared" si="16"/>
        <v/>
      </c>
      <c r="J201" s="13">
        <f t="shared" si="4"/>
        <v>0</v>
      </c>
      <c r="K201" s="1"/>
    </row>
    <row r="202" spans="1:11">
      <c r="A202" s="1" t="str">
        <f t="shared" si="13"/>
        <v/>
      </c>
      <c r="B202" s="1" t="str">
        <f t="shared" si="14"/>
        <v/>
      </c>
      <c r="C202" s="1" t="str">
        <f t="shared" si="15"/>
        <v/>
      </c>
      <c r="D202" s="1" t="str">
        <f t="shared" si="16"/>
        <v/>
      </c>
      <c r="J202" s="13">
        <f t="shared" si="4"/>
        <v>0</v>
      </c>
      <c r="K202" s="1"/>
    </row>
    <row r="203" spans="1:11">
      <c r="A203" s="1" t="str">
        <f t="shared" si="13"/>
        <v/>
      </c>
      <c r="B203" s="1" t="str">
        <f t="shared" si="14"/>
        <v/>
      </c>
      <c r="C203" s="1" t="str">
        <f t="shared" si="15"/>
        <v/>
      </c>
      <c r="D203" s="1" t="str">
        <f t="shared" si="16"/>
        <v/>
      </c>
      <c r="J203" s="13">
        <f t="shared" si="4"/>
        <v>0</v>
      </c>
      <c r="K203" s="1"/>
    </row>
    <row r="204" spans="1:11">
      <c r="A204" s="1" t="str">
        <f t="shared" si="13"/>
        <v/>
      </c>
      <c r="B204" s="1" t="str">
        <f t="shared" si="14"/>
        <v/>
      </c>
      <c r="C204" s="1" t="str">
        <f t="shared" si="15"/>
        <v/>
      </c>
      <c r="D204" s="1" t="str">
        <f t="shared" si="16"/>
        <v/>
      </c>
      <c r="J204" s="13">
        <f t="shared" si="4"/>
        <v>0</v>
      </c>
      <c r="K204" s="1"/>
    </row>
    <row r="205" spans="1:11">
      <c r="A205" s="1" t="str">
        <f t="shared" si="13"/>
        <v/>
      </c>
      <c r="B205" s="1" t="str">
        <f t="shared" si="14"/>
        <v/>
      </c>
      <c r="C205" s="1" t="str">
        <f t="shared" si="15"/>
        <v/>
      </c>
      <c r="D205" s="1" t="str">
        <f t="shared" si="16"/>
        <v/>
      </c>
      <c r="J205" s="13">
        <f t="shared" si="4"/>
        <v>0</v>
      </c>
      <c r="K205" s="1"/>
    </row>
    <row r="206" spans="1:11">
      <c r="A206" s="1" t="str">
        <f t="shared" si="13"/>
        <v/>
      </c>
      <c r="B206" s="1" t="str">
        <f t="shared" si="14"/>
        <v/>
      </c>
      <c r="C206" s="1" t="str">
        <f t="shared" si="15"/>
        <v/>
      </c>
      <c r="D206" s="1" t="str">
        <f t="shared" si="16"/>
        <v/>
      </c>
      <c r="J206" s="13">
        <f t="shared" si="4"/>
        <v>0</v>
      </c>
      <c r="K206" s="1"/>
    </row>
    <row r="207" spans="1:11">
      <c r="A207" s="1" t="str">
        <f t="shared" si="13"/>
        <v/>
      </c>
      <c r="B207" s="1" t="str">
        <f t="shared" si="14"/>
        <v/>
      </c>
      <c r="C207" s="1" t="str">
        <f t="shared" si="15"/>
        <v/>
      </c>
      <c r="D207" s="1" t="str">
        <f t="shared" si="16"/>
        <v/>
      </c>
      <c r="J207" s="13">
        <f t="shared" si="4"/>
        <v>0</v>
      </c>
      <c r="K207" s="1"/>
    </row>
    <row r="208" spans="1:11">
      <c r="A208" s="1" t="str">
        <f t="shared" si="13"/>
        <v/>
      </c>
      <c r="B208" s="1" t="str">
        <f t="shared" si="14"/>
        <v/>
      </c>
      <c r="C208" s="1" t="str">
        <f t="shared" si="15"/>
        <v/>
      </c>
      <c r="D208" s="1" t="str">
        <f t="shared" si="16"/>
        <v/>
      </c>
      <c r="J208" s="13">
        <f t="shared" si="4"/>
        <v>0</v>
      </c>
      <c r="K208" s="1"/>
    </row>
    <row r="209" spans="1:11">
      <c r="A209" s="1" t="str">
        <f t="shared" si="13"/>
        <v/>
      </c>
      <c r="B209" s="1" t="str">
        <f t="shared" si="14"/>
        <v/>
      </c>
      <c r="C209" s="1" t="str">
        <f t="shared" si="15"/>
        <v/>
      </c>
      <c r="D209" s="1" t="str">
        <f t="shared" si="16"/>
        <v/>
      </c>
      <c r="J209" s="13">
        <f t="shared" si="4"/>
        <v>0</v>
      </c>
      <c r="K209" s="1"/>
    </row>
    <row r="210" spans="1:11">
      <c r="A210" s="1" t="str">
        <f t="shared" si="13"/>
        <v/>
      </c>
      <c r="B210" s="1" t="str">
        <f t="shared" si="14"/>
        <v/>
      </c>
      <c r="C210" s="1" t="str">
        <f t="shared" si="15"/>
        <v/>
      </c>
      <c r="D210" s="1" t="str">
        <f t="shared" si="16"/>
        <v/>
      </c>
      <c r="J210" s="13">
        <f t="shared" si="4"/>
        <v>0</v>
      </c>
      <c r="K210" s="1"/>
    </row>
    <row r="211" spans="1:11">
      <c r="A211" s="1" t="str">
        <f t="shared" si="13"/>
        <v/>
      </c>
      <c r="B211" s="1" t="str">
        <f t="shared" si="14"/>
        <v/>
      </c>
      <c r="C211" s="1" t="str">
        <f t="shared" si="15"/>
        <v/>
      </c>
      <c r="D211" s="1" t="str">
        <f t="shared" si="16"/>
        <v/>
      </c>
      <c r="J211" s="13">
        <f t="shared" si="4"/>
        <v>0</v>
      </c>
      <c r="K211" s="1"/>
    </row>
    <row r="212" spans="1:11">
      <c r="A212" s="1" t="str">
        <f t="shared" si="13"/>
        <v/>
      </c>
      <c r="B212" s="1" t="str">
        <f t="shared" si="14"/>
        <v/>
      </c>
      <c r="C212" s="1" t="str">
        <f t="shared" si="15"/>
        <v/>
      </c>
      <c r="D212" s="1" t="str">
        <f t="shared" si="16"/>
        <v/>
      </c>
      <c r="J212" s="13">
        <f t="shared" si="4"/>
        <v>0</v>
      </c>
      <c r="K212" s="1"/>
    </row>
    <row r="213" spans="1:11">
      <c r="A213" s="1" t="str">
        <f t="shared" si="13"/>
        <v/>
      </c>
      <c r="B213" s="1" t="str">
        <f t="shared" si="14"/>
        <v/>
      </c>
      <c r="C213" s="1" t="str">
        <f t="shared" si="15"/>
        <v/>
      </c>
      <c r="D213" s="1" t="str">
        <f t="shared" si="16"/>
        <v/>
      </c>
      <c r="J213" s="13">
        <f t="shared" si="4"/>
        <v>0</v>
      </c>
      <c r="K213" s="1"/>
    </row>
    <row r="214" spans="1:11">
      <c r="A214" s="1" t="str">
        <f t="shared" si="13"/>
        <v/>
      </c>
      <c r="B214" s="1" t="str">
        <f t="shared" si="14"/>
        <v/>
      </c>
      <c r="C214" s="1" t="str">
        <f t="shared" si="15"/>
        <v/>
      </c>
      <c r="D214" s="1" t="str">
        <f t="shared" si="16"/>
        <v/>
      </c>
      <c r="J214" s="13">
        <f t="shared" si="4"/>
        <v>0</v>
      </c>
      <c r="K214" s="1"/>
    </row>
    <row r="215" spans="1:11">
      <c r="A215" s="1" t="str">
        <f t="shared" si="13"/>
        <v/>
      </c>
      <c r="B215" s="1" t="str">
        <f t="shared" si="14"/>
        <v/>
      </c>
      <c r="C215" s="1" t="str">
        <f t="shared" si="15"/>
        <v/>
      </c>
      <c r="D215" s="1" t="str">
        <f t="shared" si="16"/>
        <v/>
      </c>
      <c r="J215" s="13">
        <f t="shared" si="4"/>
        <v>0</v>
      </c>
      <c r="K215" s="1"/>
    </row>
    <row r="216" spans="1:11">
      <c r="A216" s="1" t="str">
        <f t="shared" si="13"/>
        <v/>
      </c>
      <c r="B216" s="1" t="str">
        <f t="shared" si="14"/>
        <v/>
      </c>
      <c r="C216" s="1" t="str">
        <f t="shared" si="15"/>
        <v/>
      </c>
      <c r="D216" s="1" t="str">
        <f t="shared" si="16"/>
        <v/>
      </c>
      <c r="J216" s="13">
        <f t="shared" si="4"/>
        <v>0</v>
      </c>
      <c r="K216" s="1"/>
    </row>
    <row r="217" spans="1:11">
      <c r="A217" s="1" t="str">
        <f t="shared" si="13"/>
        <v/>
      </c>
      <c r="B217" s="1" t="str">
        <f t="shared" si="14"/>
        <v/>
      </c>
      <c r="C217" s="1" t="str">
        <f t="shared" si="15"/>
        <v/>
      </c>
      <c r="D217" s="1" t="str">
        <f t="shared" si="16"/>
        <v/>
      </c>
      <c r="K217" s="1"/>
    </row>
    <row r="218" spans="1:11">
      <c r="A218" s="1" t="str">
        <f t="shared" si="13"/>
        <v/>
      </c>
      <c r="B218" s="1" t="str">
        <f t="shared" si="14"/>
        <v/>
      </c>
      <c r="C218" s="1" t="str">
        <f t="shared" si="15"/>
        <v/>
      </c>
      <c r="D218" s="1" t="str">
        <f t="shared" si="16"/>
        <v/>
      </c>
      <c r="K218" s="1"/>
    </row>
    <row r="219" spans="1:11">
      <c r="A219" s="1" t="str">
        <f t="shared" si="13"/>
        <v/>
      </c>
      <c r="B219" s="1" t="str">
        <f t="shared" si="14"/>
        <v/>
      </c>
      <c r="C219" s="1" t="str">
        <f t="shared" si="15"/>
        <v/>
      </c>
      <c r="D219" s="1" t="str">
        <f t="shared" si="16"/>
        <v/>
      </c>
      <c r="K219" s="1"/>
    </row>
    <row r="220" spans="1:11">
      <c r="A220" s="1" t="str">
        <f t="shared" si="13"/>
        <v/>
      </c>
      <c r="B220" s="1" t="str">
        <f t="shared" si="14"/>
        <v/>
      </c>
      <c r="C220" s="1" t="str">
        <f t="shared" si="15"/>
        <v/>
      </c>
      <c r="D220" s="1" t="str">
        <f t="shared" si="16"/>
        <v/>
      </c>
      <c r="K220" s="1"/>
    </row>
    <row r="221" spans="1:11">
      <c r="A221" s="1" t="str">
        <f t="shared" si="13"/>
        <v/>
      </c>
      <c r="B221" s="1" t="str">
        <f t="shared" si="14"/>
        <v/>
      </c>
      <c r="C221" s="1" t="str">
        <f t="shared" si="15"/>
        <v/>
      </c>
      <c r="D221" s="1" t="str">
        <f t="shared" si="16"/>
        <v/>
      </c>
      <c r="K221" s="1"/>
    </row>
    <row r="222" spans="1:11">
      <c r="A222" s="1" t="str">
        <f t="shared" si="13"/>
        <v/>
      </c>
      <c r="B222" s="1" t="str">
        <f t="shared" si="14"/>
        <v/>
      </c>
      <c r="C222" s="1" t="str">
        <f t="shared" si="15"/>
        <v/>
      </c>
      <c r="D222" s="1" t="str">
        <f t="shared" si="16"/>
        <v/>
      </c>
      <c r="K222" s="1"/>
    </row>
    <row r="223" spans="1:11">
      <c r="A223" s="1" t="str">
        <f t="shared" si="13"/>
        <v/>
      </c>
      <c r="B223" s="1" t="str">
        <f t="shared" si="14"/>
        <v/>
      </c>
      <c r="C223" s="1" t="str">
        <f t="shared" si="15"/>
        <v/>
      </c>
      <c r="D223" s="1" t="str">
        <f t="shared" si="16"/>
        <v/>
      </c>
      <c r="K223" s="1"/>
    </row>
    <row r="224" spans="1:11">
      <c r="A224" s="1" t="str">
        <f t="shared" si="13"/>
        <v/>
      </c>
      <c r="B224" s="1" t="str">
        <f t="shared" si="14"/>
        <v/>
      </c>
      <c r="C224" s="1" t="str">
        <f t="shared" si="15"/>
        <v/>
      </c>
      <c r="D224" s="1" t="str">
        <f t="shared" si="16"/>
        <v/>
      </c>
      <c r="K224" s="1"/>
    </row>
    <row r="225" spans="1:11">
      <c r="A225" s="1" t="str">
        <f t="shared" si="13"/>
        <v/>
      </c>
      <c r="B225" s="1" t="str">
        <f t="shared" si="14"/>
        <v/>
      </c>
      <c r="C225" s="1" t="str">
        <f t="shared" si="15"/>
        <v/>
      </c>
      <c r="D225" s="1" t="str">
        <f t="shared" si="16"/>
        <v/>
      </c>
      <c r="K225" s="1"/>
    </row>
    <row r="226" spans="1:11">
      <c r="A226" s="1" t="str">
        <f t="shared" si="13"/>
        <v/>
      </c>
      <c r="B226" s="1" t="str">
        <f t="shared" si="14"/>
        <v/>
      </c>
      <c r="C226" s="1" t="str">
        <f t="shared" si="15"/>
        <v/>
      </c>
      <c r="D226" s="1" t="str">
        <f t="shared" si="16"/>
        <v/>
      </c>
      <c r="K226" s="1"/>
    </row>
    <row r="227" spans="1:11">
      <c r="A227" s="1" t="str">
        <f t="shared" si="13"/>
        <v/>
      </c>
      <c r="B227" s="1" t="str">
        <f t="shared" si="14"/>
        <v/>
      </c>
      <c r="C227" s="1" t="str">
        <f t="shared" si="15"/>
        <v/>
      </c>
      <c r="D227" s="1" t="str">
        <f t="shared" si="16"/>
        <v/>
      </c>
      <c r="K227" s="1"/>
    </row>
    <row r="228" spans="1:11">
      <c r="A228" s="1" t="str">
        <f t="shared" si="13"/>
        <v/>
      </c>
      <c r="B228" s="1" t="str">
        <f t="shared" si="14"/>
        <v/>
      </c>
      <c r="C228" s="1" t="str">
        <f t="shared" si="15"/>
        <v/>
      </c>
      <c r="D228" s="1" t="str">
        <f t="shared" si="16"/>
        <v/>
      </c>
      <c r="K228" s="1"/>
    </row>
    <row r="229" spans="1:11">
      <c r="A229" s="1" t="str">
        <f t="shared" si="13"/>
        <v/>
      </c>
      <c r="B229" s="1" t="str">
        <f t="shared" si="14"/>
        <v/>
      </c>
      <c r="C229" s="1" t="str">
        <f t="shared" si="15"/>
        <v/>
      </c>
      <c r="D229" s="1" t="str">
        <f t="shared" si="16"/>
        <v/>
      </c>
      <c r="K229" s="1"/>
    </row>
    <row r="230" spans="1:11">
      <c r="A230" s="1" t="str">
        <f t="shared" si="13"/>
        <v/>
      </c>
      <c r="B230" s="1" t="str">
        <f t="shared" si="14"/>
        <v/>
      </c>
      <c r="C230" s="1" t="str">
        <f t="shared" si="15"/>
        <v/>
      </c>
      <c r="D230" s="1" t="str">
        <f t="shared" si="16"/>
        <v/>
      </c>
      <c r="K230" s="1"/>
    </row>
    <row r="231" spans="1:11">
      <c r="A231" s="1" t="str">
        <f t="shared" si="13"/>
        <v/>
      </c>
      <c r="B231" s="1" t="str">
        <f t="shared" si="14"/>
        <v/>
      </c>
      <c r="C231" s="1" t="str">
        <f t="shared" si="15"/>
        <v/>
      </c>
      <c r="D231" s="1" t="str">
        <f t="shared" si="16"/>
        <v/>
      </c>
      <c r="K231" s="1"/>
    </row>
    <row r="232" spans="1:11">
      <c r="A232" s="1" t="str">
        <f t="shared" si="13"/>
        <v/>
      </c>
      <c r="B232" s="1" t="str">
        <f t="shared" si="14"/>
        <v/>
      </c>
      <c r="C232" s="1" t="str">
        <f t="shared" si="15"/>
        <v/>
      </c>
      <c r="D232" s="1" t="str">
        <f t="shared" si="16"/>
        <v/>
      </c>
      <c r="K232" s="1"/>
    </row>
    <row r="233" spans="1:11">
      <c r="A233" s="1" t="str">
        <f t="shared" si="13"/>
        <v/>
      </c>
      <c r="B233" s="1" t="str">
        <f t="shared" si="14"/>
        <v/>
      </c>
      <c r="C233" s="1" t="str">
        <f t="shared" si="15"/>
        <v/>
      </c>
      <c r="D233" s="1" t="str">
        <f t="shared" si="16"/>
        <v/>
      </c>
      <c r="K233" s="1"/>
    </row>
    <row r="234" spans="1:11">
      <c r="A234" s="1" t="str">
        <f t="shared" si="13"/>
        <v/>
      </c>
      <c r="B234" s="1" t="str">
        <f t="shared" si="14"/>
        <v/>
      </c>
      <c r="C234" s="1" t="str">
        <f t="shared" si="15"/>
        <v/>
      </c>
      <c r="D234" s="1" t="str">
        <f t="shared" si="16"/>
        <v/>
      </c>
      <c r="K234" s="1"/>
    </row>
    <row r="235" spans="1:11">
      <c r="A235" s="1" t="str">
        <f t="shared" si="13"/>
        <v/>
      </c>
      <c r="B235" s="1" t="str">
        <f t="shared" si="14"/>
        <v/>
      </c>
      <c r="C235" s="1" t="str">
        <f t="shared" si="15"/>
        <v/>
      </c>
      <c r="D235" s="1" t="str">
        <f t="shared" si="16"/>
        <v/>
      </c>
      <c r="K235" s="1"/>
    </row>
    <row r="236" spans="1:11">
      <c r="A236" s="1" t="str">
        <f t="shared" si="13"/>
        <v/>
      </c>
      <c r="B236" s="1" t="str">
        <f t="shared" si="14"/>
        <v/>
      </c>
      <c r="C236" s="1" t="str">
        <f t="shared" si="15"/>
        <v/>
      </c>
      <c r="D236" s="1" t="str">
        <f t="shared" si="16"/>
        <v/>
      </c>
      <c r="K236" s="1"/>
    </row>
    <row r="237" spans="1:11">
      <c r="A237" s="1" t="str">
        <f t="shared" si="13"/>
        <v/>
      </c>
      <c r="B237" s="1" t="str">
        <f t="shared" si="14"/>
        <v/>
      </c>
      <c r="C237" s="1" t="str">
        <f t="shared" si="15"/>
        <v/>
      </c>
      <c r="D237" s="1" t="str">
        <f t="shared" si="16"/>
        <v/>
      </c>
      <c r="K237" s="1"/>
    </row>
    <row r="238" spans="1:11">
      <c r="A238" s="1" t="str">
        <f t="shared" si="13"/>
        <v/>
      </c>
      <c r="B238" s="1" t="str">
        <f t="shared" si="14"/>
        <v/>
      </c>
      <c r="C238" s="1" t="str">
        <f t="shared" si="15"/>
        <v/>
      </c>
      <c r="D238" s="1" t="str">
        <f t="shared" si="16"/>
        <v/>
      </c>
      <c r="K238" s="1"/>
    </row>
    <row r="239" spans="1:11">
      <c r="A239" s="1" t="str">
        <f t="shared" si="13"/>
        <v/>
      </c>
      <c r="B239" s="1" t="str">
        <f t="shared" si="14"/>
        <v/>
      </c>
      <c r="C239" s="1" t="str">
        <f t="shared" si="15"/>
        <v/>
      </c>
      <c r="D239" s="1" t="str">
        <f t="shared" si="16"/>
        <v/>
      </c>
      <c r="K239" s="1"/>
    </row>
    <row r="240" spans="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  <row r="1009" spans="11:11">
      <c r="K1009" s="1"/>
    </row>
    <row r="1010" spans="11:11">
      <c r="K1010" s="1"/>
    </row>
    <row r="1011" spans="11:11">
      <c r="K1011" s="1"/>
    </row>
  </sheetData>
  <autoFilter ref="K1:K1014" xr:uid="{00000000-0009-0000-0000-000005000000}"/>
  <dataValidations count="1">
    <dataValidation type="list" allowBlank="1" showErrorMessage="1" sqref="K1:K161 K165:K1011" xr:uid="{00000000-0002-0000-0500-000000000000}">
      <formula1>"Assurances/Mutuelle,Bricolage/Travaux,Catégorie,Charges,Courses,Divers,Internet/Téléphone,Logement,Loisirs,Medical,Scolarité,Soins,Vêtements,Voiture/Déplacement,Cadeau"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009"/>
  <sheetViews>
    <sheetView workbookViewId="0"/>
  </sheetViews>
  <sheetFormatPr defaultColWidth="12.6640625" defaultRowHeight="15.75" customHeight="1"/>
  <cols>
    <col min="1" max="1" width="22.88671875" customWidth="1"/>
    <col min="2" max="2" width="31.21875" customWidth="1"/>
    <col min="5" max="5" width="24.109375" customWidth="1"/>
    <col min="7" max="7" width="28.77734375" customWidth="1"/>
    <col min="9" max="9" width="21.88671875" customWidth="1"/>
    <col min="11" max="11" width="29.21875" customWidth="1"/>
  </cols>
  <sheetData>
    <row r="1" spans="1:29">
      <c r="A1" s="1"/>
      <c r="B1" s="1" t="s">
        <v>27</v>
      </c>
      <c r="C1" s="1"/>
      <c r="D1" s="1"/>
      <c r="E1" s="1" t="s">
        <v>28</v>
      </c>
      <c r="K1" s="1" t="s">
        <v>29</v>
      </c>
    </row>
    <row r="2" spans="1:29">
      <c r="K2" s="1"/>
    </row>
    <row r="3" spans="1:29">
      <c r="A3" s="1"/>
      <c r="B3" s="1" t="s">
        <v>30</v>
      </c>
      <c r="C3" s="1">
        <v>5651.76</v>
      </c>
      <c r="E3" s="1" t="s">
        <v>31</v>
      </c>
      <c r="F3" s="1">
        <v>669.7</v>
      </c>
      <c r="G3" s="1" t="s">
        <v>32</v>
      </c>
      <c r="H3" s="1">
        <f t="shared" ref="H3:H6" si="0">IF(G3="x",F3,0)</f>
        <v>669.7</v>
      </c>
      <c r="K3" s="1" t="s">
        <v>25</v>
      </c>
    </row>
    <row r="4" spans="1:29">
      <c r="A4" s="1"/>
      <c r="B4" s="1" t="s">
        <v>33</v>
      </c>
      <c r="C4" s="1">
        <v>1938.46</v>
      </c>
      <c r="E4" s="1" t="s">
        <v>34</v>
      </c>
      <c r="H4" s="1">
        <f t="shared" si="0"/>
        <v>0</v>
      </c>
      <c r="K4" s="1" t="s">
        <v>26</v>
      </c>
    </row>
    <row r="5" spans="1:29">
      <c r="A5" s="1"/>
      <c r="B5" s="1" t="s">
        <v>35</v>
      </c>
      <c r="C5" s="1">
        <v>114.19</v>
      </c>
      <c r="E5" s="1" t="s">
        <v>36</v>
      </c>
      <c r="F5" s="1">
        <v>70</v>
      </c>
      <c r="G5" s="1" t="s">
        <v>32</v>
      </c>
      <c r="H5" s="1">
        <f t="shared" si="0"/>
        <v>70</v>
      </c>
      <c r="K5" s="1" t="s">
        <v>26</v>
      </c>
    </row>
    <row r="6" spans="1:29">
      <c r="E6" s="11" t="s">
        <v>37</v>
      </c>
      <c r="F6" s="10">
        <v>14.99</v>
      </c>
      <c r="G6" s="11" t="s">
        <v>32</v>
      </c>
      <c r="H6" s="1">
        <f t="shared" si="0"/>
        <v>14.99</v>
      </c>
      <c r="K6" s="1" t="s">
        <v>26</v>
      </c>
    </row>
    <row r="7" spans="1:29">
      <c r="A7" s="11"/>
      <c r="D7" s="11"/>
      <c r="E7" s="1" t="s">
        <v>38</v>
      </c>
      <c r="F7" s="1">
        <v>995.15</v>
      </c>
      <c r="G7" s="11" t="s">
        <v>32</v>
      </c>
      <c r="H7" s="10">
        <f>IF(G7="x",F7,0)</f>
        <v>995.15</v>
      </c>
      <c r="I7" s="11"/>
      <c r="J7" s="11"/>
      <c r="K7" s="1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B8" s="1" t="s">
        <v>39</v>
      </c>
      <c r="C8" s="1">
        <v>261.76</v>
      </c>
      <c r="E8" s="1" t="s">
        <v>40</v>
      </c>
      <c r="F8" s="1">
        <v>883.42</v>
      </c>
      <c r="G8" s="1" t="s">
        <v>32</v>
      </c>
      <c r="H8" s="1">
        <f t="shared" ref="H8:H21" si="1">IF(G8="x",F8,0)</f>
        <v>883.42</v>
      </c>
      <c r="K8" s="1" t="s">
        <v>25</v>
      </c>
    </row>
    <row r="9" spans="1:29">
      <c r="B9" s="11" t="s">
        <v>156</v>
      </c>
      <c r="C9" s="11">
        <v>69.75</v>
      </c>
      <c r="E9" s="1" t="s">
        <v>42</v>
      </c>
      <c r="F9" s="1">
        <v>11.46</v>
      </c>
      <c r="G9" s="1" t="s">
        <v>32</v>
      </c>
      <c r="H9" s="1">
        <f t="shared" si="1"/>
        <v>11.46</v>
      </c>
      <c r="K9" s="1" t="s">
        <v>25</v>
      </c>
    </row>
    <row r="10" spans="1:29">
      <c r="B10" s="1" t="s">
        <v>157</v>
      </c>
      <c r="C10" s="1">
        <v>105</v>
      </c>
      <c r="E10" s="1" t="s">
        <v>42</v>
      </c>
      <c r="F10" s="1">
        <v>32.57</v>
      </c>
      <c r="G10" s="1" t="s">
        <v>32</v>
      </c>
      <c r="H10" s="1">
        <f t="shared" si="1"/>
        <v>32.57</v>
      </c>
      <c r="K10" s="1" t="s">
        <v>25</v>
      </c>
    </row>
    <row r="11" spans="1:29">
      <c r="B11" s="1" t="s">
        <v>157</v>
      </c>
      <c r="C11" s="1">
        <v>178</v>
      </c>
      <c r="E11" s="1" t="s">
        <v>42</v>
      </c>
      <c r="F11" s="1">
        <v>79.98</v>
      </c>
      <c r="G11" s="1" t="s">
        <v>32</v>
      </c>
      <c r="H11" s="1">
        <f t="shared" si="1"/>
        <v>79.98</v>
      </c>
      <c r="K11" s="1" t="s">
        <v>25</v>
      </c>
    </row>
    <row r="12" spans="1:29">
      <c r="B12" s="1" t="s">
        <v>158</v>
      </c>
      <c r="C12" s="1">
        <v>580</v>
      </c>
      <c r="E12" s="1" t="s">
        <v>42</v>
      </c>
      <c r="F12" s="1">
        <v>28.49</v>
      </c>
      <c r="G12" s="1" t="s">
        <v>32</v>
      </c>
      <c r="H12" s="1">
        <f t="shared" si="1"/>
        <v>28.49</v>
      </c>
      <c r="K12" s="1" t="s">
        <v>25</v>
      </c>
    </row>
    <row r="13" spans="1:29">
      <c r="B13" s="1" t="s">
        <v>159</v>
      </c>
      <c r="C13" s="1">
        <v>720</v>
      </c>
      <c r="E13" s="1" t="s">
        <v>43</v>
      </c>
      <c r="F13" s="1">
        <v>6.99</v>
      </c>
      <c r="G13" s="1" t="s">
        <v>32</v>
      </c>
      <c r="H13" s="1">
        <f t="shared" si="1"/>
        <v>6.99</v>
      </c>
      <c r="K13" s="1" t="s">
        <v>44</v>
      </c>
    </row>
    <row r="14" spans="1:29">
      <c r="B14" s="1" t="s">
        <v>161</v>
      </c>
      <c r="C14" s="1">
        <v>40</v>
      </c>
      <c r="E14" s="1" t="s">
        <v>45</v>
      </c>
      <c r="F14" s="1">
        <v>65</v>
      </c>
      <c r="G14" s="1" t="s">
        <v>32</v>
      </c>
      <c r="H14" s="1">
        <f t="shared" si="1"/>
        <v>65</v>
      </c>
      <c r="K14" s="1" t="s">
        <v>26</v>
      </c>
    </row>
    <row r="15" spans="1:29">
      <c r="B15" s="1" t="s">
        <v>163</v>
      </c>
      <c r="C15" s="1">
        <v>3165</v>
      </c>
      <c r="E15" s="1" t="s">
        <v>46</v>
      </c>
      <c r="F15" s="1">
        <v>208</v>
      </c>
      <c r="G15" s="1" t="s">
        <v>32</v>
      </c>
      <c r="H15" s="1">
        <f t="shared" si="1"/>
        <v>208</v>
      </c>
      <c r="K15" s="1" t="s">
        <v>26</v>
      </c>
    </row>
    <row r="16" spans="1:29">
      <c r="E16" s="1" t="s">
        <v>47</v>
      </c>
      <c r="F16" s="1">
        <v>24.99</v>
      </c>
      <c r="G16" s="1" t="s">
        <v>32</v>
      </c>
      <c r="H16" s="1">
        <f t="shared" si="1"/>
        <v>24.99</v>
      </c>
      <c r="K16" s="1" t="s">
        <v>44</v>
      </c>
    </row>
    <row r="17" spans="1:29">
      <c r="E17" s="1" t="s">
        <v>164</v>
      </c>
      <c r="F17" s="1">
        <v>14.99</v>
      </c>
      <c r="G17" s="1" t="s">
        <v>32</v>
      </c>
      <c r="H17" s="1">
        <f t="shared" si="1"/>
        <v>14.99</v>
      </c>
      <c r="K17" s="1" t="s">
        <v>44</v>
      </c>
    </row>
    <row r="18" spans="1:29">
      <c r="E18" s="1" t="s">
        <v>48</v>
      </c>
      <c r="F18" s="1">
        <v>14.99</v>
      </c>
      <c r="H18" s="1">
        <f t="shared" si="1"/>
        <v>0</v>
      </c>
      <c r="K18" s="1" t="s">
        <v>44</v>
      </c>
    </row>
    <row r="19" spans="1:29">
      <c r="E19" s="1" t="s">
        <v>49</v>
      </c>
      <c r="F19" s="1">
        <v>14.99</v>
      </c>
      <c r="G19" s="1" t="s">
        <v>32</v>
      </c>
      <c r="H19" s="1">
        <f t="shared" si="1"/>
        <v>14.99</v>
      </c>
      <c r="K19" s="1" t="s">
        <v>44</v>
      </c>
    </row>
    <row r="20" spans="1:29">
      <c r="E20" s="1" t="s">
        <v>50</v>
      </c>
      <c r="F20" s="1">
        <v>10.99</v>
      </c>
      <c r="G20" s="1" t="s">
        <v>32</v>
      </c>
      <c r="H20" s="1">
        <f t="shared" si="1"/>
        <v>10.99</v>
      </c>
      <c r="K20" s="1" t="s">
        <v>44</v>
      </c>
    </row>
    <row r="21" spans="1:29">
      <c r="E21" s="1" t="s">
        <v>51</v>
      </c>
      <c r="F21" s="1">
        <v>104.98</v>
      </c>
      <c r="G21" s="1" t="s">
        <v>32</v>
      </c>
      <c r="H21" s="1">
        <f t="shared" si="1"/>
        <v>104.98</v>
      </c>
      <c r="K21" s="1" t="s">
        <v>52</v>
      </c>
    </row>
    <row r="22" spans="1:29">
      <c r="K22" s="1"/>
    </row>
    <row r="23" spans="1:29">
      <c r="E23" s="1" t="s">
        <v>53</v>
      </c>
      <c r="F23" s="1">
        <v>62.88</v>
      </c>
      <c r="G23" s="1" t="s">
        <v>32</v>
      </c>
      <c r="H23" s="1">
        <f t="shared" ref="H23:H29" si="2">IF(G23="x",F23,0)</f>
        <v>62.88</v>
      </c>
      <c r="K23" s="1" t="s">
        <v>52</v>
      </c>
    </row>
    <row r="24" spans="1:29">
      <c r="E24" s="1" t="s">
        <v>105</v>
      </c>
      <c r="F24" s="1">
        <v>331.65</v>
      </c>
      <c r="G24" s="1" t="s">
        <v>32</v>
      </c>
      <c r="H24" s="1">
        <f t="shared" si="2"/>
        <v>331.65</v>
      </c>
      <c r="K24" s="1" t="s">
        <v>55</v>
      </c>
    </row>
    <row r="25" spans="1:29">
      <c r="E25" s="1" t="s">
        <v>56</v>
      </c>
      <c r="F25" s="1">
        <v>88.03</v>
      </c>
      <c r="G25" s="1" t="s">
        <v>32</v>
      </c>
      <c r="H25" s="1">
        <f t="shared" si="2"/>
        <v>88.03</v>
      </c>
      <c r="K25" s="1" t="s">
        <v>52</v>
      </c>
    </row>
    <row r="26" spans="1:29">
      <c r="E26" s="1" t="s">
        <v>57</v>
      </c>
      <c r="F26" s="1">
        <v>18.989999999999998</v>
      </c>
      <c r="G26" s="1" t="s">
        <v>32</v>
      </c>
      <c r="H26" s="1">
        <f t="shared" si="2"/>
        <v>18.989999999999998</v>
      </c>
      <c r="K26" s="1" t="s">
        <v>52</v>
      </c>
    </row>
    <row r="27" spans="1:29">
      <c r="E27" s="1" t="s">
        <v>58</v>
      </c>
      <c r="F27" s="1">
        <v>20</v>
      </c>
      <c r="G27" s="1" t="s">
        <v>32</v>
      </c>
      <c r="H27" s="1">
        <f t="shared" si="2"/>
        <v>20</v>
      </c>
      <c r="K27" s="1" t="s">
        <v>59</v>
      </c>
    </row>
    <row r="28" spans="1:29">
      <c r="E28" s="1" t="s">
        <v>60</v>
      </c>
      <c r="F28" s="1">
        <v>21.99</v>
      </c>
      <c r="G28" s="1" t="s">
        <v>32</v>
      </c>
      <c r="H28" s="1">
        <f t="shared" si="2"/>
        <v>21.99</v>
      </c>
      <c r="K28" s="1" t="s">
        <v>44</v>
      </c>
    </row>
    <row r="29" spans="1:29">
      <c r="H29" s="1">
        <f t="shared" si="2"/>
        <v>0</v>
      </c>
      <c r="K29" s="1" t="s">
        <v>55</v>
      </c>
    </row>
    <row r="30" spans="1:29">
      <c r="E30" s="1" t="s">
        <v>61</v>
      </c>
      <c r="F30" s="1">
        <v>21.4</v>
      </c>
      <c r="G30" s="11" t="s">
        <v>32</v>
      </c>
      <c r="H30" s="10">
        <f>IF(G30="x",F30,0)</f>
        <v>21.4</v>
      </c>
      <c r="K30" s="1" t="s">
        <v>55</v>
      </c>
    </row>
    <row r="31" spans="1:29">
      <c r="E31" s="11" t="s">
        <v>62</v>
      </c>
      <c r="F31" s="10">
        <v>0.99</v>
      </c>
      <c r="G31" s="1" t="s">
        <v>32</v>
      </c>
      <c r="H31" s="1">
        <f t="shared" ref="H31:H38" si="3">IF(G31="x",F31,0)</f>
        <v>0.99</v>
      </c>
      <c r="K31" s="1" t="s">
        <v>44</v>
      </c>
    </row>
    <row r="32" spans="1:29">
      <c r="A32" s="11"/>
      <c r="B32" s="11"/>
      <c r="C32" s="11"/>
      <c r="D32" s="11"/>
      <c r="E32" s="1" t="s">
        <v>62</v>
      </c>
      <c r="F32" s="1">
        <v>0.99</v>
      </c>
      <c r="G32" s="1" t="s">
        <v>32</v>
      </c>
      <c r="H32" s="1">
        <f t="shared" si="3"/>
        <v>0.99</v>
      </c>
      <c r="I32" s="11"/>
      <c r="J32" s="11"/>
      <c r="K32" s="1" t="s">
        <v>44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A33" s="11"/>
      <c r="B33" s="11"/>
      <c r="C33" s="11"/>
      <c r="D33" s="11"/>
      <c r="E33" s="1" t="s">
        <v>62</v>
      </c>
      <c r="F33" s="1">
        <v>16.989999999999998</v>
      </c>
      <c r="G33" s="1" t="s">
        <v>32</v>
      </c>
      <c r="H33" s="1">
        <f t="shared" si="3"/>
        <v>16.989999999999998</v>
      </c>
      <c r="I33" s="11"/>
      <c r="J33" s="11"/>
      <c r="K33" s="1" t="s">
        <v>44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E34" s="1" t="s">
        <v>106</v>
      </c>
      <c r="F34" s="1">
        <v>278.3</v>
      </c>
      <c r="G34" s="1" t="s">
        <v>32</v>
      </c>
      <c r="H34" s="1">
        <f t="shared" si="3"/>
        <v>278.3</v>
      </c>
      <c r="I34" s="11"/>
      <c r="J34" s="11"/>
      <c r="K34" s="1" t="s">
        <v>64</v>
      </c>
    </row>
    <row r="35" spans="1:29">
      <c r="A35" s="1"/>
      <c r="E35" s="1" t="s">
        <v>65</v>
      </c>
      <c r="F35" s="1">
        <v>170</v>
      </c>
      <c r="G35" s="1" t="s">
        <v>32</v>
      </c>
      <c r="H35" s="1">
        <f t="shared" si="3"/>
        <v>170</v>
      </c>
      <c r="K35" s="1" t="s">
        <v>25</v>
      </c>
    </row>
    <row r="36" spans="1:29">
      <c r="A36" s="1"/>
      <c r="C36" s="1"/>
      <c r="E36" s="1" t="s">
        <v>66</v>
      </c>
      <c r="F36" s="1">
        <v>136</v>
      </c>
      <c r="G36" s="1" t="s">
        <v>32</v>
      </c>
      <c r="H36" s="1">
        <f t="shared" si="3"/>
        <v>136</v>
      </c>
      <c r="K36" s="1" t="s">
        <v>25</v>
      </c>
    </row>
    <row r="37" spans="1:29">
      <c r="A37" s="1"/>
      <c r="C37" s="1"/>
      <c r="E37" s="1" t="s">
        <v>67</v>
      </c>
      <c r="F37" s="1">
        <v>19.03</v>
      </c>
      <c r="G37" s="1" t="s">
        <v>32</v>
      </c>
      <c r="H37" s="1">
        <f t="shared" si="3"/>
        <v>19.03</v>
      </c>
      <c r="K37" s="1" t="s">
        <v>26</v>
      </c>
    </row>
    <row r="38" spans="1:29">
      <c r="A38" s="1"/>
      <c r="C38" s="1"/>
      <c r="E38" s="1" t="s">
        <v>68</v>
      </c>
      <c r="F38" s="1">
        <v>33.89</v>
      </c>
      <c r="G38" s="1" t="s">
        <v>32</v>
      </c>
      <c r="H38" s="1">
        <f t="shared" si="3"/>
        <v>33.89</v>
      </c>
      <c r="K38" s="1" t="s">
        <v>26</v>
      </c>
    </row>
    <row r="39" spans="1:29">
      <c r="A39" s="1" t="s">
        <v>69</v>
      </c>
      <c r="C39" s="1" t="e">
        <f>'Juin 2026'!D43</f>
        <v>#REF!</v>
      </c>
      <c r="K39" s="1"/>
    </row>
    <row r="40" spans="1:29">
      <c r="A40" s="1" t="s">
        <v>70</v>
      </c>
      <c r="C40" s="1">
        <f>SUM(C2:C6)</f>
        <v>7704.41</v>
      </c>
      <c r="E40" s="1" t="s">
        <v>71</v>
      </c>
      <c r="F40" s="1">
        <f>SUM(F2:F38)</f>
        <v>4472.8099999999986</v>
      </c>
      <c r="G40" s="1" t="s">
        <v>72</v>
      </c>
      <c r="H40" s="1">
        <f>SUM(H2:H38)</f>
        <v>4457.8199999999988</v>
      </c>
      <c r="I40" s="1" t="s">
        <v>73</v>
      </c>
      <c r="K40" s="1"/>
    </row>
    <row r="41" spans="1:29">
      <c r="A41" s="1" t="s">
        <v>74</v>
      </c>
      <c r="C41" s="1">
        <f>SUM(C8:C35)</f>
        <v>5119.51</v>
      </c>
      <c r="E41" s="1" t="s">
        <v>75</v>
      </c>
      <c r="F41" s="1" t="e">
        <f>C42-F40</f>
        <v>#REF!</v>
      </c>
      <c r="G41" s="1" t="s">
        <v>76</v>
      </c>
      <c r="H41" s="1" t="e">
        <f>C39+C40+C41-H40-F42</f>
        <v>#REF!</v>
      </c>
      <c r="K41" s="1"/>
    </row>
    <row r="42" spans="1:29">
      <c r="A42" s="1" t="s">
        <v>77</v>
      </c>
      <c r="C42" s="1" t="e">
        <f>SUM(C39:C41)</f>
        <v>#REF!</v>
      </c>
      <c r="E42" s="1" t="s">
        <v>78</v>
      </c>
      <c r="F42" s="1">
        <f>SUM(J44:J247)</f>
        <v>8324.9199999999983</v>
      </c>
      <c r="K42" s="1"/>
    </row>
    <row r="43" spans="1:29" ht="15.75" customHeight="1">
      <c r="A43" s="12" t="s">
        <v>79</v>
      </c>
      <c r="B43" s="12" t="e">
        <f>$C$42-$F$40-$F$42</f>
        <v>#REF!</v>
      </c>
      <c r="C43" s="1" t="s">
        <v>80</v>
      </c>
      <c r="D43" s="1" t="e">
        <f>$C$42-$H$40-$F$42</f>
        <v>#REF!</v>
      </c>
      <c r="K43" s="1"/>
    </row>
    <row r="44" spans="1:29">
      <c r="A44" s="1" t="str">
        <f>IF(AND(NOT(ISBLANK(#REF!)),ISBLANK(G44)),"Reste prévu","")</f>
        <v>Reste prévu</v>
      </c>
      <c r="B44" s="1" t="e">
        <f>IF(AND(NOT(ISBLANK(#REF!)),ISBLANK($G44)),$C$42-$F$40-$F$42,"")</f>
        <v>#REF!</v>
      </c>
      <c r="C44" s="1" t="str">
        <f>IF(AND(NOT(ISBLANK(#REF!)),ISBLANK($G44)),"Reste réel","")</f>
        <v>Reste réel</v>
      </c>
      <c r="D44" s="1" t="e">
        <f>IF(AND(NOT(ISBLANK(#REF!)),ISBLANK($G44)),$C$42-$H$40-$F$42,"")</f>
        <v>#REF!</v>
      </c>
      <c r="J44" s="13">
        <f t="shared" ref="J44:J214" si="4">IF(I44="x",H44,0)</f>
        <v>0</v>
      </c>
      <c r="K44" s="1" t="s">
        <v>98</v>
      </c>
    </row>
    <row r="45" spans="1:29">
      <c r="A45" s="1" t="str">
        <f t="shared" ref="A45:A78" si="5">IF(AND(NOT(ISBLANK(G44)),ISBLANK(G45)),"Reste prévu","")</f>
        <v/>
      </c>
      <c r="B45" s="1" t="str">
        <f t="shared" ref="B45:B78" si="6">IF(AND(NOT(ISBLANK($G44)),ISBLANK($G45)),$C$42-$F$40-$F$42,"")</f>
        <v/>
      </c>
      <c r="C45" s="1" t="str">
        <f t="shared" ref="C45:C78" si="7">IF(AND(NOT(ISBLANK($G44)),ISBLANK($G45)),"Reste réel","")</f>
        <v/>
      </c>
      <c r="D45" s="1" t="str">
        <f t="shared" ref="D45:D78" si="8">IF(AND(NOT(ISBLANK($G44)),ISBLANK($G45)),$C$42-$H$40-$F$42,"")</f>
        <v/>
      </c>
      <c r="G45" s="1" t="s">
        <v>170</v>
      </c>
      <c r="H45" s="1">
        <v>26.89</v>
      </c>
      <c r="I45" s="1" t="s">
        <v>32</v>
      </c>
      <c r="J45" s="13">
        <f t="shared" si="4"/>
        <v>26.89</v>
      </c>
      <c r="K45" s="1" t="s">
        <v>24</v>
      </c>
    </row>
    <row r="46" spans="1:29">
      <c r="A46" s="1" t="str">
        <f t="shared" si="5"/>
        <v/>
      </c>
      <c r="B46" s="1" t="str">
        <f t="shared" si="6"/>
        <v/>
      </c>
      <c r="C46" s="1" t="str">
        <f t="shared" si="7"/>
        <v/>
      </c>
      <c r="D46" s="1" t="str">
        <f t="shared" si="8"/>
        <v/>
      </c>
      <c r="G46" s="1" t="s">
        <v>171</v>
      </c>
      <c r="H46" s="1">
        <v>4</v>
      </c>
      <c r="I46" s="1" t="s">
        <v>32</v>
      </c>
      <c r="J46" s="13">
        <f t="shared" si="4"/>
        <v>4</v>
      </c>
      <c r="K46" s="1" t="s">
        <v>98</v>
      </c>
    </row>
    <row r="47" spans="1:29">
      <c r="A47" s="1" t="str">
        <f t="shared" si="5"/>
        <v/>
      </c>
      <c r="B47" s="1" t="str">
        <f t="shared" si="6"/>
        <v/>
      </c>
      <c r="C47" s="1" t="str">
        <f t="shared" si="7"/>
        <v/>
      </c>
      <c r="D47" s="1" t="str">
        <f t="shared" si="8"/>
        <v/>
      </c>
      <c r="G47" s="1" t="s">
        <v>171</v>
      </c>
      <c r="H47" s="1">
        <v>13.5</v>
      </c>
      <c r="I47" s="1" t="s">
        <v>32</v>
      </c>
      <c r="J47" s="13">
        <f t="shared" si="4"/>
        <v>13.5</v>
      </c>
      <c r="K47" s="1" t="s">
        <v>98</v>
      </c>
    </row>
    <row r="48" spans="1:29">
      <c r="A48" s="1" t="str">
        <f t="shared" si="5"/>
        <v/>
      </c>
      <c r="B48" s="1" t="str">
        <f t="shared" si="6"/>
        <v/>
      </c>
      <c r="C48" s="1" t="str">
        <f t="shared" si="7"/>
        <v/>
      </c>
      <c r="D48" s="1" t="str">
        <f t="shared" si="8"/>
        <v/>
      </c>
      <c r="G48" s="1" t="s">
        <v>171</v>
      </c>
      <c r="H48" s="1">
        <v>13.5</v>
      </c>
      <c r="I48" s="1" t="s">
        <v>32</v>
      </c>
      <c r="J48" s="13">
        <f t="shared" si="4"/>
        <v>13.5</v>
      </c>
      <c r="K48" s="1" t="s">
        <v>98</v>
      </c>
    </row>
    <row r="49" spans="1:11">
      <c r="A49" s="1" t="str">
        <f t="shared" si="5"/>
        <v/>
      </c>
      <c r="B49" s="1" t="str">
        <f t="shared" si="6"/>
        <v/>
      </c>
      <c r="C49" s="1" t="str">
        <f t="shared" si="7"/>
        <v/>
      </c>
      <c r="D49" s="1" t="str">
        <f t="shared" si="8"/>
        <v/>
      </c>
      <c r="G49" s="1" t="s">
        <v>171</v>
      </c>
      <c r="H49" s="1">
        <v>26.5</v>
      </c>
      <c r="I49" s="1" t="s">
        <v>32</v>
      </c>
      <c r="J49" s="13">
        <f t="shared" si="4"/>
        <v>26.5</v>
      </c>
      <c r="K49" s="1" t="s">
        <v>98</v>
      </c>
    </row>
    <row r="50" spans="1:11">
      <c r="A50" s="1" t="str">
        <f t="shared" si="5"/>
        <v/>
      </c>
      <c r="B50" s="1" t="str">
        <f t="shared" si="6"/>
        <v/>
      </c>
      <c r="C50" s="1" t="str">
        <f t="shared" si="7"/>
        <v/>
      </c>
      <c r="D50" s="1" t="str">
        <f t="shared" si="8"/>
        <v/>
      </c>
      <c r="G50" s="1" t="s">
        <v>171</v>
      </c>
      <c r="H50" s="1">
        <v>13.5</v>
      </c>
      <c r="I50" s="1" t="s">
        <v>32</v>
      </c>
      <c r="J50" s="13">
        <f t="shared" si="4"/>
        <v>13.5</v>
      </c>
      <c r="K50" s="1" t="s">
        <v>98</v>
      </c>
    </row>
    <row r="51" spans="1:11">
      <c r="A51" s="1" t="str">
        <f t="shared" si="5"/>
        <v/>
      </c>
      <c r="B51" s="1" t="str">
        <f t="shared" si="6"/>
        <v/>
      </c>
      <c r="C51" s="1" t="str">
        <f t="shared" si="7"/>
        <v/>
      </c>
      <c r="D51" s="1" t="str">
        <f t="shared" si="8"/>
        <v/>
      </c>
      <c r="G51" s="1" t="s">
        <v>152</v>
      </c>
      <c r="H51" s="1">
        <v>3.4</v>
      </c>
      <c r="I51" s="1" t="s">
        <v>32</v>
      </c>
      <c r="J51" s="13">
        <f t="shared" si="4"/>
        <v>3.4</v>
      </c>
      <c r="K51" s="1" t="s">
        <v>55</v>
      </c>
    </row>
    <row r="52" spans="1:11">
      <c r="A52" s="1" t="str">
        <f t="shared" si="5"/>
        <v/>
      </c>
      <c r="B52" s="1" t="str">
        <f t="shared" si="6"/>
        <v/>
      </c>
      <c r="C52" s="1" t="str">
        <f t="shared" si="7"/>
        <v/>
      </c>
      <c r="D52" s="1" t="str">
        <f t="shared" si="8"/>
        <v/>
      </c>
      <c r="G52" s="1" t="s">
        <v>172</v>
      </c>
      <c r="H52" s="1">
        <v>131.44999999999999</v>
      </c>
      <c r="I52" s="1" t="s">
        <v>32</v>
      </c>
      <c r="J52" s="13">
        <f t="shared" si="4"/>
        <v>131.44999999999999</v>
      </c>
      <c r="K52" s="1" t="s">
        <v>98</v>
      </c>
    </row>
    <row r="53" spans="1:11">
      <c r="A53" s="1" t="str">
        <f t="shared" si="5"/>
        <v/>
      </c>
      <c r="B53" s="1" t="str">
        <f t="shared" si="6"/>
        <v/>
      </c>
      <c r="C53" s="1" t="str">
        <f t="shared" si="7"/>
        <v/>
      </c>
      <c r="D53" s="1" t="str">
        <f t="shared" si="8"/>
        <v/>
      </c>
      <c r="G53" s="1" t="s">
        <v>173</v>
      </c>
      <c r="H53" s="1">
        <v>0.5</v>
      </c>
      <c r="I53" s="1" t="s">
        <v>32</v>
      </c>
      <c r="J53" s="13">
        <f t="shared" si="4"/>
        <v>0.5</v>
      </c>
      <c r="K53" s="1" t="s">
        <v>59</v>
      </c>
    </row>
    <row r="54" spans="1:11">
      <c r="A54" s="1" t="str">
        <f t="shared" si="5"/>
        <v/>
      </c>
      <c r="B54" s="1" t="str">
        <f t="shared" si="6"/>
        <v/>
      </c>
      <c r="C54" s="1" t="str">
        <f t="shared" si="7"/>
        <v/>
      </c>
      <c r="D54" s="1" t="str">
        <f t="shared" si="8"/>
        <v/>
      </c>
      <c r="G54" s="1" t="s">
        <v>174</v>
      </c>
      <c r="H54" s="1">
        <v>6.7</v>
      </c>
      <c r="I54" s="1" t="s">
        <v>32</v>
      </c>
      <c r="J54" s="13">
        <f t="shared" si="4"/>
        <v>6.7</v>
      </c>
      <c r="K54" s="1" t="s">
        <v>24</v>
      </c>
    </row>
    <row r="55" spans="1:11">
      <c r="A55" s="1" t="str">
        <f t="shared" si="5"/>
        <v/>
      </c>
      <c r="B55" s="1" t="str">
        <f t="shared" si="6"/>
        <v/>
      </c>
      <c r="C55" s="1" t="str">
        <f t="shared" si="7"/>
        <v/>
      </c>
      <c r="D55" s="1" t="str">
        <f t="shared" si="8"/>
        <v/>
      </c>
      <c r="G55" s="1" t="s">
        <v>171</v>
      </c>
      <c r="H55" s="1">
        <v>8</v>
      </c>
      <c r="I55" s="1" t="s">
        <v>32</v>
      </c>
      <c r="J55" s="13">
        <f t="shared" si="4"/>
        <v>8</v>
      </c>
      <c r="K55" s="1" t="s">
        <v>98</v>
      </c>
    </row>
    <row r="56" spans="1:11">
      <c r="A56" s="1" t="str">
        <f t="shared" si="5"/>
        <v/>
      </c>
      <c r="B56" s="1" t="str">
        <f t="shared" si="6"/>
        <v/>
      </c>
      <c r="C56" s="1" t="str">
        <f t="shared" si="7"/>
        <v/>
      </c>
      <c r="D56" s="1" t="str">
        <f t="shared" si="8"/>
        <v/>
      </c>
      <c r="G56" s="1" t="s">
        <v>115</v>
      </c>
      <c r="H56" s="1">
        <v>13</v>
      </c>
      <c r="I56" s="1" t="s">
        <v>32</v>
      </c>
      <c r="J56" s="13">
        <f t="shared" si="4"/>
        <v>13</v>
      </c>
      <c r="K56" s="1" t="s">
        <v>59</v>
      </c>
    </row>
    <row r="57" spans="1:11">
      <c r="A57" s="1" t="str">
        <f t="shared" si="5"/>
        <v/>
      </c>
      <c r="B57" s="1" t="str">
        <f t="shared" si="6"/>
        <v/>
      </c>
      <c r="C57" s="1" t="str">
        <f t="shared" si="7"/>
        <v/>
      </c>
      <c r="D57" s="1" t="str">
        <f t="shared" si="8"/>
        <v/>
      </c>
      <c r="G57" s="1" t="s">
        <v>115</v>
      </c>
      <c r="H57" s="1">
        <v>14.5</v>
      </c>
      <c r="I57" s="1" t="s">
        <v>32</v>
      </c>
      <c r="J57" s="13">
        <f t="shared" si="4"/>
        <v>14.5</v>
      </c>
      <c r="K57" s="1" t="s">
        <v>59</v>
      </c>
    </row>
    <row r="58" spans="1:11">
      <c r="A58" s="1" t="str">
        <f t="shared" si="5"/>
        <v/>
      </c>
      <c r="B58" s="1" t="str">
        <f t="shared" si="6"/>
        <v/>
      </c>
      <c r="C58" s="1" t="str">
        <f t="shared" si="7"/>
        <v/>
      </c>
      <c r="D58" s="1" t="str">
        <f t="shared" si="8"/>
        <v/>
      </c>
      <c r="G58" s="1" t="s">
        <v>175</v>
      </c>
      <c r="H58" s="1">
        <v>17</v>
      </c>
      <c r="I58" s="1" t="s">
        <v>32</v>
      </c>
      <c r="J58" s="13">
        <f t="shared" si="4"/>
        <v>17</v>
      </c>
      <c r="K58" s="1" t="s">
        <v>55</v>
      </c>
    </row>
    <row r="59" spans="1:11">
      <c r="A59" s="1" t="str">
        <f t="shared" si="5"/>
        <v/>
      </c>
      <c r="B59" s="1" t="str">
        <f t="shared" si="6"/>
        <v/>
      </c>
      <c r="C59" s="1" t="str">
        <f t="shared" si="7"/>
        <v/>
      </c>
      <c r="D59" s="1" t="str">
        <f t="shared" si="8"/>
        <v/>
      </c>
      <c r="G59" s="1" t="s">
        <v>175</v>
      </c>
      <c r="H59" s="1">
        <v>17</v>
      </c>
      <c r="I59" s="1" t="s">
        <v>32</v>
      </c>
      <c r="J59" s="13">
        <f t="shared" si="4"/>
        <v>17</v>
      </c>
      <c r="K59" s="1" t="s">
        <v>55</v>
      </c>
    </row>
    <row r="60" spans="1:11">
      <c r="A60" s="1" t="str">
        <f t="shared" si="5"/>
        <v/>
      </c>
      <c r="B60" s="1" t="str">
        <f t="shared" si="6"/>
        <v/>
      </c>
      <c r="C60" s="1" t="str">
        <f t="shared" si="7"/>
        <v/>
      </c>
      <c r="D60" s="1" t="str">
        <f t="shared" si="8"/>
        <v/>
      </c>
      <c r="G60" s="1" t="s">
        <v>176</v>
      </c>
      <c r="H60" s="1">
        <v>20.5</v>
      </c>
      <c r="I60" s="1" t="s">
        <v>32</v>
      </c>
      <c r="J60" s="13">
        <f t="shared" si="4"/>
        <v>20.5</v>
      </c>
      <c r="K60" s="1" t="s">
        <v>24</v>
      </c>
    </row>
    <row r="61" spans="1:11">
      <c r="A61" s="1" t="str">
        <f t="shared" si="5"/>
        <v/>
      </c>
      <c r="B61" s="1" t="str">
        <f t="shared" si="6"/>
        <v/>
      </c>
      <c r="C61" s="1" t="str">
        <f t="shared" si="7"/>
        <v/>
      </c>
      <c r="D61" s="1" t="str">
        <f t="shared" si="8"/>
        <v/>
      </c>
      <c r="G61" s="1" t="s">
        <v>171</v>
      </c>
      <c r="H61" s="1">
        <v>4</v>
      </c>
      <c r="I61" s="1" t="s">
        <v>32</v>
      </c>
      <c r="J61" s="13">
        <f t="shared" si="4"/>
        <v>4</v>
      </c>
      <c r="K61" s="1" t="s">
        <v>98</v>
      </c>
    </row>
    <row r="62" spans="1:11">
      <c r="A62" s="1" t="str">
        <f t="shared" si="5"/>
        <v/>
      </c>
      <c r="B62" s="1" t="str">
        <f t="shared" si="6"/>
        <v/>
      </c>
      <c r="C62" s="1" t="str">
        <f t="shared" si="7"/>
        <v/>
      </c>
      <c r="D62" s="1" t="str">
        <f t="shared" si="8"/>
        <v/>
      </c>
      <c r="G62" s="1" t="s">
        <v>171</v>
      </c>
      <c r="H62" s="1">
        <v>4</v>
      </c>
      <c r="I62" s="1" t="s">
        <v>32</v>
      </c>
      <c r="J62" s="13">
        <f t="shared" si="4"/>
        <v>4</v>
      </c>
      <c r="K62" s="1" t="s">
        <v>98</v>
      </c>
    </row>
    <row r="63" spans="1:11">
      <c r="A63" s="1" t="str">
        <f t="shared" si="5"/>
        <v/>
      </c>
      <c r="B63" s="1" t="str">
        <f t="shared" si="6"/>
        <v/>
      </c>
      <c r="C63" s="1" t="str">
        <f t="shared" si="7"/>
        <v/>
      </c>
      <c r="D63" s="1" t="str">
        <f t="shared" si="8"/>
        <v/>
      </c>
      <c r="G63" s="1" t="s">
        <v>82</v>
      </c>
      <c r="H63" s="1">
        <v>63.1</v>
      </c>
      <c r="I63" s="1" t="s">
        <v>32</v>
      </c>
      <c r="J63" s="13">
        <f t="shared" si="4"/>
        <v>63.1</v>
      </c>
      <c r="K63" s="1" t="s">
        <v>83</v>
      </c>
    </row>
    <row r="64" spans="1:11">
      <c r="A64" s="1" t="str">
        <f t="shared" si="5"/>
        <v/>
      </c>
      <c r="B64" s="1" t="str">
        <f t="shared" si="6"/>
        <v/>
      </c>
      <c r="C64" s="1" t="str">
        <f t="shared" si="7"/>
        <v/>
      </c>
      <c r="D64" s="1" t="str">
        <f t="shared" si="8"/>
        <v/>
      </c>
      <c r="G64" s="1" t="s">
        <v>111</v>
      </c>
      <c r="H64" s="1">
        <v>6.1</v>
      </c>
      <c r="I64" s="1" t="s">
        <v>32</v>
      </c>
      <c r="J64" s="13">
        <f t="shared" si="4"/>
        <v>6.1</v>
      </c>
      <c r="K64" s="1" t="s">
        <v>24</v>
      </c>
    </row>
    <row r="65" spans="1:11">
      <c r="A65" s="1" t="str">
        <f t="shared" si="5"/>
        <v/>
      </c>
      <c r="B65" s="1" t="str">
        <f t="shared" si="6"/>
        <v/>
      </c>
      <c r="C65" s="1" t="str">
        <f t="shared" si="7"/>
        <v/>
      </c>
      <c r="D65" s="1" t="str">
        <f t="shared" si="8"/>
        <v/>
      </c>
      <c r="G65" s="1" t="s">
        <v>87</v>
      </c>
      <c r="H65" s="1">
        <v>30.37</v>
      </c>
      <c r="I65" s="1" t="s">
        <v>32</v>
      </c>
      <c r="J65" s="13">
        <f t="shared" si="4"/>
        <v>30.37</v>
      </c>
      <c r="K65" s="1" t="s">
        <v>24</v>
      </c>
    </row>
    <row r="66" spans="1:11">
      <c r="A66" s="1" t="str">
        <f t="shared" si="5"/>
        <v/>
      </c>
      <c r="B66" s="1" t="str">
        <f t="shared" si="6"/>
        <v/>
      </c>
      <c r="C66" s="1" t="str">
        <f t="shared" si="7"/>
        <v/>
      </c>
      <c r="D66" s="1" t="str">
        <f t="shared" si="8"/>
        <v/>
      </c>
      <c r="G66" s="1" t="s">
        <v>177</v>
      </c>
      <c r="H66" s="1">
        <v>105.42</v>
      </c>
      <c r="I66" s="1" t="s">
        <v>32</v>
      </c>
      <c r="J66" s="13">
        <f t="shared" si="4"/>
        <v>105.42</v>
      </c>
      <c r="K66" s="1" t="s">
        <v>59</v>
      </c>
    </row>
    <row r="67" spans="1:11">
      <c r="A67" s="1" t="str">
        <f t="shared" si="5"/>
        <v/>
      </c>
      <c r="B67" s="1" t="str">
        <f t="shared" si="6"/>
        <v/>
      </c>
      <c r="C67" s="1" t="str">
        <f t="shared" si="7"/>
        <v/>
      </c>
      <c r="D67" s="1" t="str">
        <f t="shared" si="8"/>
        <v/>
      </c>
      <c r="G67" s="1" t="s">
        <v>113</v>
      </c>
      <c r="H67" s="1">
        <v>14.44</v>
      </c>
      <c r="I67" s="1" t="s">
        <v>32</v>
      </c>
      <c r="J67" s="13">
        <f t="shared" si="4"/>
        <v>14.44</v>
      </c>
      <c r="K67" s="1" t="s">
        <v>55</v>
      </c>
    </row>
    <row r="68" spans="1:11">
      <c r="A68" s="1" t="str">
        <f t="shared" si="5"/>
        <v/>
      </c>
      <c r="B68" s="1" t="str">
        <f t="shared" si="6"/>
        <v/>
      </c>
      <c r="C68" s="1" t="str">
        <f t="shared" si="7"/>
        <v/>
      </c>
      <c r="D68" s="1" t="str">
        <f t="shared" si="8"/>
        <v/>
      </c>
      <c r="G68" s="1" t="s">
        <v>178</v>
      </c>
      <c r="H68" s="1">
        <v>12</v>
      </c>
      <c r="I68" s="1" t="s">
        <v>32</v>
      </c>
      <c r="J68" s="13">
        <f t="shared" si="4"/>
        <v>12</v>
      </c>
      <c r="K68" s="1" t="s">
        <v>98</v>
      </c>
    </row>
    <row r="69" spans="1:11">
      <c r="A69" s="1" t="str">
        <f t="shared" si="5"/>
        <v/>
      </c>
      <c r="B69" s="1" t="str">
        <f t="shared" si="6"/>
        <v/>
      </c>
      <c r="C69" s="1" t="str">
        <f t="shared" si="7"/>
        <v/>
      </c>
      <c r="D69" s="1" t="str">
        <f t="shared" si="8"/>
        <v/>
      </c>
      <c r="G69" s="1" t="s">
        <v>179</v>
      </c>
      <c r="H69" s="1">
        <v>14</v>
      </c>
      <c r="I69" s="1" t="s">
        <v>32</v>
      </c>
      <c r="J69" s="13">
        <f t="shared" si="4"/>
        <v>14</v>
      </c>
      <c r="K69" s="1" t="s">
        <v>24</v>
      </c>
    </row>
    <row r="70" spans="1:11">
      <c r="A70" s="1" t="str">
        <f t="shared" si="5"/>
        <v/>
      </c>
      <c r="B70" s="1" t="str">
        <f t="shared" si="6"/>
        <v/>
      </c>
      <c r="C70" s="1" t="str">
        <f t="shared" si="7"/>
        <v/>
      </c>
      <c r="D70" s="1" t="str">
        <f t="shared" si="8"/>
        <v/>
      </c>
      <c r="G70" s="1" t="s">
        <v>87</v>
      </c>
      <c r="H70" s="1">
        <v>21.26</v>
      </c>
      <c r="I70" s="1" t="s">
        <v>32</v>
      </c>
      <c r="J70" s="13">
        <f t="shared" si="4"/>
        <v>21.26</v>
      </c>
      <c r="K70" s="1" t="s">
        <v>24</v>
      </c>
    </row>
    <row r="71" spans="1:11">
      <c r="A71" s="1" t="str">
        <f t="shared" si="5"/>
        <v/>
      </c>
      <c r="B71" s="1" t="str">
        <f t="shared" si="6"/>
        <v/>
      </c>
      <c r="C71" s="1" t="str">
        <f t="shared" si="7"/>
        <v/>
      </c>
      <c r="D71" s="1" t="str">
        <f t="shared" si="8"/>
        <v/>
      </c>
      <c r="G71" s="1" t="s">
        <v>84</v>
      </c>
      <c r="H71" s="1">
        <v>46.1</v>
      </c>
      <c r="I71" s="1" t="s">
        <v>32</v>
      </c>
      <c r="J71" s="13">
        <f t="shared" si="4"/>
        <v>46.1</v>
      </c>
      <c r="K71" s="1" t="s">
        <v>85</v>
      </c>
    </row>
    <row r="72" spans="1:11">
      <c r="A72" s="1" t="str">
        <f t="shared" si="5"/>
        <v/>
      </c>
      <c r="B72" s="1" t="str">
        <f t="shared" si="6"/>
        <v/>
      </c>
      <c r="C72" s="1" t="str">
        <f t="shared" si="7"/>
        <v/>
      </c>
      <c r="D72" s="1" t="str">
        <f t="shared" si="8"/>
        <v/>
      </c>
      <c r="G72" s="1" t="s">
        <v>180</v>
      </c>
      <c r="H72" s="1">
        <v>345.48</v>
      </c>
      <c r="I72" s="1" t="s">
        <v>32</v>
      </c>
      <c r="J72" s="13">
        <f t="shared" si="4"/>
        <v>345.48</v>
      </c>
      <c r="K72" s="1" t="s">
        <v>26</v>
      </c>
    </row>
    <row r="73" spans="1:11">
      <c r="A73" s="1" t="str">
        <f t="shared" si="5"/>
        <v/>
      </c>
      <c r="B73" s="1" t="str">
        <f t="shared" si="6"/>
        <v/>
      </c>
      <c r="C73" s="1" t="str">
        <f t="shared" si="7"/>
        <v/>
      </c>
      <c r="D73" s="1" t="str">
        <f t="shared" si="8"/>
        <v/>
      </c>
      <c r="G73" s="1" t="s">
        <v>81</v>
      </c>
      <c r="H73" s="1">
        <v>61.56</v>
      </c>
      <c r="I73" s="1" t="s">
        <v>32</v>
      </c>
      <c r="J73" s="13">
        <f t="shared" si="4"/>
        <v>61.56</v>
      </c>
      <c r="K73" s="1" t="s">
        <v>89</v>
      </c>
    </row>
    <row r="74" spans="1:11">
      <c r="A74" s="1" t="str">
        <f t="shared" si="5"/>
        <v/>
      </c>
      <c r="B74" s="1" t="str">
        <f t="shared" si="6"/>
        <v/>
      </c>
      <c r="C74" s="1" t="str">
        <f t="shared" si="7"/>
        <v/>
      </c>
      <c r="D74" s="1" t="str">
        <f t="shared" si="8"/>
        <v/>
      </c>
      <c r="G74" s="1" t="s">
        <v>81</v>
      </c>
      <c r="H74" s="1">
        <v>156.13999999999999</v>
      </c>
      <c r="I74" s="1" t="s">
        <v>32</v>
      </c>
      <c r="J74" s="13">
        <f t="shared" si="4"/>
        <v>156.13999999999999</v>
      </c>
      <c r="K74" s="1" t="s">
        <v>89</v>
      </c>
    </row>
    <row r="75" spans="1:11">
      <c r="A75" s="1" t="str">
        <f t="shared" si="5"/>
        <v/>
      </c>
      <c r="B75" s="1" t="str">
        <f t="shared" si="6"/>
        <v/>
      </c>
      <c r="C75" s="1" t="str">
        <f t="shared" si="7"/>
        <v/>
      </c>
      <c r="D75" s="1" t="str">
        <f t="shared" si="8"/>
        <v/>
      </c>
      <c r="G75" s="1" t="s">
        <v>87</v>
      </c>
      <c r="H75" s="1">
        <v>210.95</v>
      </c>
      <c r="I75" s="1" t="s">
        <v>32</v>
      </c>
      <c r="J75" s="13">
        <f t="shared" si="4"/>
        <v>210.95</v>
      </c>
      <c r="K75" s="1" t="s">
        <v>24</v>
      </c>
    </row>
    <row r="76" spans="1:11">
      <c r="A76" s="1" t="str">
        <f t="shared" si="5"/>
        <v/>
      </c>
      <c r="B76" s="1" t="str">
        <f t="shared" si="6"/>
        <v/>
      </c>
      <c r="C76" s="1" t="str">
        <f t="shared" si="7"/>
        <v/>
      </c>
      <c r="D76" s="1" t="str">
        <f t="shared" si="8"/>
        <v/>
      </c>
      <c r="G76" s="1" t="s">
        <v>111</v>
      </c>
      <c r="H76" s="1">
        <v>5.4</v>
      </c>
      <c r="I76" s="1" t="s">
        <v>32</v>
      </c>
      <c r="J76" s="13">
        <f t="shared" si="4"/>
        <v>5.4</v>
      </c>
      <c r="K76" s="1" t="s">
        <v>24</v>
      </c>
    </row>
    <row r="77" spans="1:11">
      <c r="A77" s="1" t="str">
        <f t="shared" si="5"/>
        <v/>
      </c>
      <c r="B77" s="1" t="str">
        <f t="shared" si="6"/>
        <v/>
      </c>
      <c r="C77" s="1" t="str">
        <f t="shared" si="7"/>
        <v/>
      </c>
      <c r="D77" s="1" t="str">
        <f t="shared" si="8"/>
        <v/>
      </c>
      <c r="G77" s="1" t="s">
        <v>87</v>
      </c>
      <c r="H77" s="1">
        <v>122.55</v>
      </c>
      <c r="I77" s="1" t="s">
        <v>32</v>
      </c>
      <c r="J77" s="13">
        <f t="shared" si="4"/>
        <v>122.55</v>
      </c>
      <c r="K77" s="1" t="s">
        <v>24</v>
      </c>
    </row>
    <row r="78" spans="1:11">
      <c r="A78" s="1" t="str">
        <f t="shared" si="5"/>
        <v/>
      </c>
      <c r="B78" s="1" t="str">
        <f t="shared" si="6"/>
        <v/>
      </c>
      <c r="C78" s="1" t="str">
        <f t="shared" si="7"/>
        <v/>
      </c>
      <c r="D78" s="1" t="str">
        <f t="shared" si="8"/>
        <v/>
      </c>
      <c r="G78" s="1" t="s">
        <v>87</v>
      </c>
      <c r="H78" s="1">
        <v>7.34</v>
      </c>
      <c r="I78" s="1" t="s">
        <v>32</v>
      </c>
      <c r="J78" s="13">
        <f t="shared" si="4"/>
        <v>7.34</v>
      </c>
      <c r="K78" s="1" t="s">
        <v>24</v>
      </c>
    </row>
    <row r="79" spans="1:11">
      <c r="G79" s="1" t="s">
        <v>181</v>
      </c>
      <c r="H79" s="1">
        <v>75.489999999999995</v>
      </c>
      <c r="I79" s="1" t="s">
        <v>32</v>
      </c>
      <c r="J79" s="13">
        <f t="shared" si="4"/>
        <v>75.489999999999995</v>
      </c>
      <c r="K79" s="1" t="s">
        <v>24</v>
      </c>
    </row>
    <row r="80" spans="1:11">
      <c r="A80" s="1" t="str">
        <f>IF(AND(NOT(ISBLANK(G78)),ISBLANK(G80)),"Reste prévu","")</f>
        <v/>
      </c>
      <c r="B80" s="1" t="str">
        <f>IF(AND(NOT(ISBLANK($G78)),ISBLANK($G80)),$C$42-$F$40-$F$42,"")</f>
        <v/>
      </c>
      <c r="C80" s="1" t="str">
        <f>IF(AND(NOT(ISBLANK($G78)),ISBLANK($G80)),"Reste réel","")</f>
        <v/>
      </c>
      <c r="D80" s="1" t="str">
        <f>IF(AND(NOT(ISBLANK($G78)),ISBLANK($G80)),$C$42-$H$40-$F$42,"")</f>
        <v/>
      </c>
      <c r="G80" s="1" t="s">
        <v>92</v>
      </c>
      <c r="H80" s="1">
        <v>32.07</v>
      </c>
      <c r="I80" s="1" t="s">
        <v>32</v>
      </c>
      <c r="J80" s="13">
        <f t="shared" si="4"/>
        <v>32.07</v>
      </c>
      <c r="K80" s="1" t="s">
        <v>24</v>
      </c>
    </row>
    <row r="81" spans="1:11">
      <c r="A81" s="1" t="str">
        <f t="shared" ref="A81:A237" si="9">IF(AND(NOT(ISBLANK(G80)),ISBLANK(G81)),"Reste prévu","")</f>
        <v/>
      </c>
      <c r="B81" s="1" t="str">
        <f t="shared" ref="B81:B237" si="10">IF(AND(NOT(ISBLANK($G80)),ISBLANK($G81)),$C$42-$F$40-$F$42,"")</f>
        <v/>
      </c>
      <c r="C81" s="1" t="str">
        <f t="shared" ref="C81:C237" si="11">IF(AND(NOT(ISBLANK($G80)),ISBLANK($G81)),"Reste réel","")</f>
        <v/>
      </c>
      <c r="D81" s="1" t="str">
        <f t="shared" ref="D81:D237" si="12">IF(AND(NOT(ISBLANK($G80)),ISBLANK($G81)),$C$42-$H$40-$F$42,"")</f>
        <v/>
      </c>
      <c r="G81" s="1" t="s">
        <v>191</v>
      </c>
      <c r="H81" s="1">
        <v>46</v>
      </c>
      <c r="I81" s="1" t="s">
        <v>32</v>
      </c>
      <c r="J81" s="13">
        <f t="shared" si="4"/>
        <v>46</v>
      </c>
      <c r="K81" s="1" t="s">
        <v>83</v>
      </c>
    </row>
    <row r="82" spans="1:11">
      <c r="A82" s="1" t="str">
        <f t="shared" si="9"/>
        <v/>
      </c>
      <c r="B82" s="1" t="str">
        <f t="shared" si="10"/>
        <v/>
      </c>
      <c r="C82" s="1" t="str">
        <f t="shared" si="11"/>
        <v/>
      </c>
      <c r="D82" s="1" t="str">
        <f t="shared" si="12"/>
        <v/>
      </c>
      <c r="G82" s="1" t="s">
        <v>192</v>
      </c>
      <c r="H82" s="1">
        <v>123.97</v>
      </c>
      <c r="I82" s="1" t="s">
        <v>32</v>
      </c>
      <c r="J82" s="13">
        <f t="shared" si="4"/>
        <v>123.97</v>
      </c>
      <c r="K82" s="1" t="s">
        <v>83</v>
      </c>
    </row>
    <row r="83" spans="1:11">
      <c r="A83" s="1" t="str">
        <f t="shared" si="9"/>
        <v/>
      </c>
      <c r="B83" s="1" t="str">
        <f t="shared" si="10"/>
        <v/>
      </c>
      <c r="C83" s="1" t="str">
        <f t="shared" si="11"/>
        <v/>
      </c>
      <c r="D83" s="1" t="str">
        <f t="shared" si="12"/>
        <v/>
      </c>
      <c r="G83" s="1" t="s">
        <v>82</v>
      </c>
      <c r="H83" s="1">
        <v>41.95</v>
      </c>
      <c r="I83" s="1" t="s">
        <v>32</v>
      </c>
      <c r="J83" s="13">
        <f t="shared" si="4"/>
        <v>41.95</v>
      </c>
      <c r="K83" s="1" t="s">
        <v>83</v>
      </c>
    </row>
    <row r="84" spans="1:11">
      <c r="A84" s="1" t="str">
        <f t="shared" si="9"/>
        <v/>
      </c>
      <c r="B84" s="1" t="str">
        <f t="shared" si="10"/>
        <v/>
      </c>
      <c r="C84" s="1" t="str">
        <f t="shared" si="11"/>
        <v/>
      </c>
      <c r="D84" s="1" t="str">
        <f t="shared" si="12"/>
        <v/>
      </c>
      <c r="G84" s="1" t="s">
        <v>193</v>
      </c>
      <c r="H84" s="1">
        <v>255</v>
      </c>
      <c r="I84" s="1" t="s">
        <v>32</v>
      </c>
      <c r="J84" s="13">
        <f t="shared" si="4"/>
        <v>255</v>
      </c>
      <c r="K84" s="1" t="s">
        <v>64</v>
      </c>
    </row>
    <row r="85" spans="1:11">
      <c r="A85" s="1" t="str">
        <f t="shared" si="9"/>
        <v/>
      </c>
      <c r="B85" s="1" t="str">
        <f t="shared" si="10"/>
        <v/>
      </c>
      <c r="C85" s="1" t="str">
        <f t="shared" si="11"/>
        <v/>
      </c>
      <c r="D85" s="1" t="str">
        <f t="shared" si="12"/>
        <v/>
      </c>
      <c r="G85" s="1" t="s">
        <v>194</v>
      </c>
      <c r="H85" s="1">
        <v>11</v>
      </c>
      <c r="I85" s="1" t="s">
        <v>32</v>
      </c>
      <c r="J85" s="13">
        <f t="shared" si="4"/>
        <v>11</v>
      </c>
      <c r="K85" s="1" t="s">
        <v>98</v>
      </c>
    </row>
    <row r="86" spans="1:11">
      <c r="A86" s="1" t="str">
        <f t="shared" si="9"/>
        <v/>
      </c>
      <c r="B86" s="1" t="str">
        <f t="shared" si="10"/>
        <v/>
      </c>
      <c r="C86" s="1" t="str">
        <f t="shared" si="11"/>
        <v/>
      </c>
      <c r="D86" s="1" t="str">
        <f t="shared" si="12"/>
        <v/>
      </c>
      <c r="G86" s="1" t="s">
        <v>87</v>
      </c>
      <c r="H86" s="1">
        <v>12.64</v>
      </c>
      <c r="I86" s="1" t="s">
        <v>32</v>
      </c>
      <c r="J86" s="13">
        <f t="shared" si="4"/>
        <v>12.64</v>
      </c>
      <c r="K86" s="1" t="s">
        <v>24</v>
      </c>
    </row>
    <row r="87" spans="1:11">
      <c r="A87" s="1" t="str">
        <f t="shared" si="9"/>
        <v/>
      </c>
      <c r="B87" s="1" t="str">
        <f t="shared" si="10"/>
        <v/>
      </c>
      <c r="C87" s="1" t="str">
        <f t="shared" si="11"/>
        <v/>
      </c>
      <c r="D87" s="1" t="str">
        <f t="shared" si="12"/>
        <v/>
      </c>
      <c r="G87" s="14" t="s">
        <v>194</v>
      </c>
      <c r="H87" s="1">
        <v>8</v>
      </c>
      <c r="I87" s="1" t="s">
        <v>32</v>
      </c>
      <c r="J87" s="13">
        <f t="shared" si="4"/>
        <v>8</v>
      </c>
      <c r="K87" s="1" t="s">
        <v>98</v>
      </c>
    </row>
    <row r="88" spans="1:11">
      <c r="A88" s="1" t="str">
        <f t="shared" si="9"/>
        <v/>
      </c>
      <c r="B88" s="1" t="str">
        <f t="shared" si="10"/>
        <v/>
      </c>
      <c r="C88" s="1" t="str">
        <f t="shared" si="11"/>
        <v/>
      </c>
      <c r="D88" s="1" t="str">
        <f t="shared" si="12"/>
        <v/>
      </c>
      <c r="G88" s="1" t="s">
        <v>121</v>
      </c>
      <c r="H88" s="1">
        <v>129</v>
      </c>
      <c r="I88" s="1" t="s">
        <v>32</v>
      </c>
      <c r="J88" s="13">
        <f t="shared" si="4"/>
        <v>129</v>
      </c>
      <c r="K88" s="1" t="s">
        <v>98</v>
      </c>
    </row>
    <row r="89" spans="1:11">
      <c r="A89" s="1" t="str">
        <f t="shared" si="9"/>
        <v/>
      </c>
      <c r="B89" s="1" t="str">
        <f t="shared" si="10"/>
        <v/>
      </c>
      <c r="C89" s="1" t="str">
        <f t="shared" si="11"/>
        <v/>
      </c>
      <c r="D89" s="1" t="str">
        <f t="shared" si="12"/>
        <v/>
      </c>
      <c r="G89" s="1" t="s">
        <v>195</v>
      </c>
      <c r="H89" s="1">
        <v>23.4</v>
      </c>
      <c r="I89" s="1" t="s">
        <v>32</v>
      </c>
      <c r="J89" s="13">
        <f t="shared" si="4"/>
        <v>23.4</v>
      </c>
      <c r="K89" s="1" t="s">
        <v>24</v>
      </c>
    </row>
    <row r="90" spans="1:11">
      <c r="A90" s="1" t="str">
        <f t="shared" si="9"/>
        <v/>
      </c>
      <c r="B90" s="1" t="str">
        <f t="shared" si="10"/>
        <v/>
      </c>
      <c r="C90" s="1" t="str">
        <f t="shared" si="11"/>
        <v/>
      </c>
      <c r="D90" s="1" t="str">
        <f t="shared" si="12"/>
        <v/>
      </c>
      <c r="G90" s="1" t="s">
        <v>124</v>
      </c>
      <c r="H90" s="1">
        <v>36.5</v>
      </c>
      <c r="I90" s="1" t="s">
        <v>32</v>
      </c>
      <c r="J90" s="13">
        <f t="shared" si="4"/>
        <v>36.5</v>
      </c>
      <c r="K90" s="1" t="s">
        <v>24</v>
      </c>
    </row>
    <row r="91" spans="1:11">
      <c r="A91" s="1" t="str">
        <f t="shared" si="9"/>
        <v/>
      </c>
      <c r="B91" s="1" t="str">
        <f t="shared" si="10"/>
        <v/>
      </c>
      <c r="C91" s="1" t="str">
        <f t="shared" si="11"/>
        <v/>
      </c>
      <c r="D91" s="1" t="str">
        <f t="shared" si="12"/>
        <v/>
      </c>
      <c r="G91" s="1" t="s">
        <v>87</v>
      </c>
      <c r="H91" s="1">
        <v>34.94</v>
      </c>
      <c r="I91" s="1" t="s">
        <v>32</v>
      </c>
      <c r="J91" s="13">
        <f t="shared" si="4"/>
        <v>34.94</v>
      </c>
      <c r="K91" s="1" t="s">
        <v>24</v>
      </c>
    </row>
    <row r="92" spans="1:11">
      <c r="A92" s="1" t="str">
        <f t="shared" si="9"/>
        <v/>
      </c>
      <c r="B92" s="1" t="str">
        <f t="shared" si="10"/>
        <v/>
      </c>
      <c r="C92" s="1" t="str">
        <f t="shared" si="11"/>
        <v/>
      </c>
      <c r="D92" s="1" t="str">
        <f t="shared" si="12"/>
        <v/>
      </c>
      <c r="G92" s="1" t="s">
        <v>196</v>
      </c>
      <c r="H92" s="1">
        <v>105</v>
      </c>
      <c r="I92" s="1" t="s">
        <v>32</v>
      </c>
      <c r="J92" s="13">
        <f t="shared" si="4"/>
        <v>105</v>
      </c>
      <c r="K92" s="1" t="s">
        <v>64</v>
      </c>
    </row>
    <row r="93" spans="1:11">
      <c r="A93" s="1" t="str">
        <f t="shared" si="9"/>
        <v/>
      </c>
      <c r="B93" s="1" t="str">
        <f t="shared" si="10"/>
        <v/>
      </c>
      <c r="C93" s="1" t="str">
        <f t="shared" si="11"/>
        <v/>
      </c>
      <c r="D93" s="1" t="str">
        <f t="shared" si="12"/>
        <v/>
      </c>
      <c r="G93" s="1" t="s">
        <v>196</v>
      </c>
      <c r="H93" s="1">
        <v>178</v>
      </c>
      <c r="I93" s="1" t="s">
        <v>32</v>
      </c>
      <c r="J93" s="13">
        <f t="shared" si="4"/>
        <v>178</v>
      </c>
      <c r="K93" s="1" t="s">
        <v>64</v>
      </c>
    </row>
    <row r="94" spans="1:11">
      <c r="A94" s="1" t="str">
        <f t="shared" si="9"/>
        <v/>
      </c>
      <c r="B94" s="1" t="str">
        <f t="shared" si="10"/>
        <v/>
      </c>
      <c r="C94" s="1" t="str">
        <f t="shared" si="11"/>
        <v/>
      </c>
      <c r="D94" s="1" t="str">
        <f t="shared" si="12"/>
        <v/>
      </c>
      <c r="G94" s="1" t="s">
        <v>115</v>
      </c>
      <c r="H94" s="1">
        <v>13</v>
      </c>
      <c r="I94" s="1" t="s">
        <v>32</v>
      </c>
      <c r="J94" s="13">
        <f t="shared" si="4"/>
        <v>13</v>
      </c>
      <c r="K94" s="1" t="s">
        <v>59</v>
      </c>
    </row>
    <row r="95" spans="1:11">
      <c r="A95" s="1" t="str">
        <f t="shared" si="9"/>
        <v/>
      </c>
      <c r="B95" s="1" t="str">
        <f t="shared" si="10"/>
        <v/>
      </c>
      <c r="C95" s="1" t="str">
        <f t="shared" si="11"/>
        <v/>
      </c>
      <c r="D95" s="1" t="str">
        <f t="shared" si="12"/>
        <v/>
      </c>
      <c r="G95" s="1" t="s">
        <v>87</v>
      </c>
      <c r="H95" s="1">
        <v>95.36</v>
      </c>
      <c r="I95" s="1" t="s">
        <v>32</v>
      </c>
      <c r="J95" s="13">
        <f t="shared" si="4"/>
        <v>95.36</v>
      </c>
      <c r="K95" s="1" t="s">
        <v>24</v>
      </c>
    </row>
    <row r="96" spans="1:11">
      <c r="A96" s="1" t="str">
        <f t="shared" si="9"/>
        <v/>
      </c>
      <c r="B96" s="1" t="str">
        <f t="shared" si="10"/>
        <v/>
      </c>
      <c r="C96" s="1" t="str">
        <f t="shared" si="11"/>
        <v/>
      </c>
      <c r="D96" s="1" t="str">
        <f t="shared" si="12"/>
        <v/>
      </c>
      <c r="G96" s="1" t="s">
        <v>197</v>
      </c>
      <c r="H96" s="1">
        <v>9.6999999999999993</v>
      </c>
      <c r="I96" s="1" t="s">
        <v>32</v>
      </c>
      <c r="J96" s="13">
        <f t="shared" si="4"/>
        <v>9.6999999999999993</v>
      </c>
      <c r="K96" s="1" t="s">
        <v>24</v>
      </c>
    </row>
    <row r="97" spans="1:11">
      <c r="A97" s="1" t="str">
        <f t="shared" si="9"/>
        <v/>
      </c>
      <c r="B97" s="1" t="str">
        <f t="shared" si="10"/>
        <v/>
      </c>
      <c r="C97" s="1" t="str">
        <f t="shared" si="11"/>
        <v/>
      </c>
      <c r="D97" s="1" t="str">
        <f t="shared" si="12"/>
        <v/>
      </c>
      <c r="G97" s="1" t="s">
        <v>197</v>
      </c>
      <c r="H97" s="1">
        <v>14.2</v>
      </c>
      <c r="I97" s="1" t="s">
        <v>32</v>
      </c>
      <c r="J97" s="13">
        <f t="shared" si="4"/>
        <v>14.2</v>
      </c>
      <c r="K97" s="1" t="s">
        <v>24</v>
      </c>
    </row>
    <row r="98" spans="1:11">
      <c r="A98" s="1" t="str">
        <f t="shared" si="9"/>
        <v/>
      </c>
      <c r="B98" s="1" t="str">
        <f t="shared" si="10"/>
        <v/>
      </c>
      <c r="C98" s="1" t="str">
        <f t="shared" si="11"/>
        <v/>
      </c>
      <c r="D98" s="1" t="str">
        <f t="shared" si="12"/>
        <v/>
      </c>
      <c r="G98" s="1" t="s">
        <v>92</v>
      </c>
      <c r="H98" s="1">
        <v>24.38</v>
      </c>
      <c r="I98" s="1" t="s">
        <v>32</v>
      </c>
      <c r="J98" s="13">
        <f t="shared" si="4"/>
        <v>24.38</v>
      </c>
      <c r="K98" s="1" t="s">
        <v>24</v>
      </c>
    </row>
    <row r="99" spans="1:11">
      <c r="A99" s="1" t="str">
        <f t="shared" si="9"/>
        <v/>
      </c>
      <c r="B99" s="1" t="str">
        <f t="shared" si="10"/>
        <v/>
      </c>
      <c r="C99" s="1" t="str">
        <f t="shared" si="11"/>
        <v/>
      </c>
      <c r="D99" s="1" t="str">
        <f t="shared" si="12"/>
        <v/>
      </c>
      <c r="G99" s="1" t="s">
        <v>199</v>
      </c>
      <c r="H99" s="1">
        <v>10.08</v>
      </c>
      <c r="I99" s="1" t="s">
        <v>32</v>
      </c>
      <c r="J99" s="13">
        <f t="shared" si="4"/>
        <v>10.08</v>
      </c>
      <c r="K99" s="1" t="s">
        <v>26</v>
      </c>
    </row>
    <row r="100" spans="1:11">
      <c r="A100" s="1" t="str">
        <f t="shared" si="9"/>
        <v/>
      </c>
      <c r="B100" s="1" t="str">
        <f t="shared" si="10"/>
        <v/>
      </c>
      <c r="C100" s="1" t="str">
        <f t="shared" si="11"/>
        <v/>
      </c>
      <c r="D100" s="1" t="str">
        <f t="shared" si="12"/>
        <v/>
      </c>
      <c r="G100" s="1" t="s">
        <v>87</v>
      </c>
      <c r="H100" s="1">
        <v>10.39</v>
      </c>
      <c r="I100" s="1" t="s">
        <v>32</v>
      </c>
      <c r="J100" s="13">
        <f t="shared" si="4"/>
        <v>10.39</v>
      </c>
      <c r="K100" s="1" t="s">
        <v>24</v>
      </c>
    </row>
    <row r="101" spans="1:11">
      <c r="A101" s="1" t="str">
        <f t="shared" si="9"/>
        <v/>
      </c>
      <c r="B101" s="1" t="str">
        <f t="shared" si="10"/>
        <v/>
      </c>
      <c r="C101" s="1" t="str">
        <f t="shared" si="11"/>
        <v/>
      </c>
      <c r="D101" s="1" t="str">
        <f t="shared" si="12"/>
        <v/>
      </c>
      <c r="G101" s="1" t="s">
        <v>87</v>
      </c>
      <c r="H101" s="1">
        <v>53.11</v>
      </c>
      <c r="I101" s="1" t="s">
        <v>32</v>
      </c>
      <c r="J101" s="13">
        <f t="shared" si="4"/>
        <v>53.11</v>
      </c>
      <c r="K101" s="1" t="s">
        <v>24</v>
      </c>
    </row>
    <row r="102" spans="1:11">
      <c r="A102" s="1" t="str">
        <f t="shared" si="9"/>
        <v/>
      </c>
      <c r="B102" s="1" t="str">
        <f t="shared" si="10"/>
        <v/>
      </c>
      <c r="C102" s="1" t="str">
        <f t="shared" si="11"/>
        <v/>
      </c>
      <c r="D102" s="1" t="str">
        <f t="shared" si="12"/>
        <v/>
      </c>
      <c r="G102" s="1" t="s">
        <v>200</v>
      </c>
      <c r="H102" s="1">
        <v>365</v>
      </c>
      <c r="I102" s="1" t="s">
        <v>32</v>
      </c>
      <c r="J102" s="13">
        <f t="shared" si="4"/>
        <v>365</v>
      </c>
      <c r="K102" s="1" t="s">
        <v>26</v>
      </c>
    </row>
    <row r="103" spans="1:11">
      <c r="A103" s="1" t="str">
        <f t="shared" si="9"/>
        <v/>
      </c>
      <c r="B103" s="1" t="str">
        <f t="shared" si="10"/>
        <v/>
      </c>
      <c r="C103" s="1" t="str">
        <f t="shared" si="11"/>
        <v/>
      </c>
      <c r="D103" s="1" t="str">
        <f t="shared" si="12"/>
        <v/>
      </c>
      <c r="G103" s="1" t="s">
        <v>1</v>
      </c>
      <c r="H103" s="1">
        <v>580</v>
      </c>
      <c r="I103" s="1" t="s">
        <v>32</v>
      </c>
      <c r="J103" s="13">
        <f t="shared" si="4"/>
        <v>580</v>
      </c>
      <c r="K103" s="1" t="s">
        <v>1</v>
      </c>
    </row>
    <row r="104" spans="1:11">
      <c r="A104" s="1" t="str">
        <f t="shared" si="9"/>
        <v/>
      </c>
      <c r="B104" s="1" t="str">
        <f t="shared" si="10"/>
        <v/>
      </c>
      <c r="C104" s="1" t="str">
        <f t="shared" si="11"/>
        <v/>
      </c>
      <c r="D104" s="1" t="str">
        <f t="shared" si="12"/>
        <v/>
      </c>
      <c r="G104" s="1" t="s">
        <v>201</v>
      </c>
      <c r="H104" s="1">
        <v>74.959999999999994</v>
      </c>
      <c r="I104" s="1" t="s">
        <v>32</v>
      </c>
      <c r="J104" s="13">
        <f t="shared" si="4"/>
        <v>74.959999999999994</v>
      </c>
      <c r="K104" s="1" t="s">
        <v>83</v>
      </c>
    </row>
    <row r="105" spans="1:11">
      <c r="A105" s="1" t="str">
        <f t="shared" si="9"/>
        <v/>
      </c>
      <c r="B105" s="1" t="str">
        <f t="shared" si="10"/>
        <v/>
      </c>
      <c r="C105" s="1" t="str">
        <f t="shared" si="11"/>
        <v/>
      </c>
      <c r="D105" s="1" t="str">
        <f t="shared" si="12"/>
        <v/>
      </c>
      <c r="G105" s="1" t="s">
        <v>81</v>
      </c>
      <c r="H105" s="1">
        <v>69.88</v>
      </c>
      <c r="I105" s="1" t="s">
        <v>32</v>
      </c>
      <c r="J105" s="13">
        <f t="shared" si="4"/>
        <v>69.88</v>
      </c>
      <c r="K105" s="1" t="s">
        <v>89</v>
      </c>
    </row>
    <row r="106" spans="1:11">
      <c r="A106" s="1" t="str">
        <f t="shared" si="9"/>
        <v/>
      </c>
      <c r="B106" s="1" t="str">
        <f t="shared" si="10"/>
        <v/>
      </c>
      <c r="C106" s="1" t="str">
        <f t="shared" si="11"/>
        <v/>
      </c>
      <c r="D106" s="1" t="str">
        <f t="shared" si="12"/>
        <v/>
      </c>
      <c r="G106" s="1" t="s">
        <v>87</v>
      </c>
      <c r="H106" s="1">
        <v>57.02</v>
      </c>
      <c r="I106" s="1" t="s">
        <v>32</v>
      </c>
      <c r="J106" s="13">
        <f t="shared" si="4"/>
        <v>57.02</v>
      </c>
      <c r="K106" s="1" t="s">
        <v>24</v>
      </c>
    </row>
    <row r="107" spans="1:11">
      <c r="A107" s="1" t="str">
        <f t="shared" si="9"/>
        <v/>
      </c>
      <c r="B107" s="1" t="str">
        <f t="shared" si="10"/>
        <v/>
      </c>
      <c r="C107" s="1" t="str">
        <f t="shared" si="11"/>
        <v/>
      </c>
      <c r="D107" s="1" t="str">
        <f t="shared" si="12"/>
        <v/>
      </c>
      <c r="G107" s="1" t="s">
        <v>87</v>
      </c>
      <c r="H107" s="1">
        <v>73.540000000000006</v>
      </c>
      <c r="I107" s="1" t="s">
        <v>32</v>
      </c>
      <c r="J107" s="13">
        <f t="shared" si="4"/>
        <v>73.540000000000006</v>
      </c>
      <c r="K107" s="1" t="s">
        <v>24</v>
      </c>
    </row>
    <row r="108" spans="1:11">
      <c r="A108" s="1" t="str">
        <f t="shared" si="9"/>
        <v/>
      </c>
      <c r="B108" s="1" t="str">
        <f t="shared" si="10"/>
        <v/>
      </c>
      <c r="C108" s="1" t="str">
        <f t="shared" si="11"/>
        <v/>
      </c>
      <c r="D108" s="1" t="str">
        <f t="shared" si="12"/>
        <v/>
      </c>
      <c r="G108" s="1" t="s">
        <v>87</v>
      </c>
      <c r="H108" s="1">
        <v>75.87</v>
      </c>
      <c r="I108" s="1" t="s">
        <v>32</v>
      </c>
      <c r="J108" s="13">
        <f t="shared" si="4"/>
        <v>75.87</v>
      </c>
      <c r="K108" s="1" t="s">
        <v>24</v>
      </c>
    </row>
    <row r="109" spans="1:11">
      <c r="A109" s="1" t="str">
        <f t="shared" si="9"/>
        <v/>
      </c>
      <c r="B109" s="1" t="str">
        <f t="shared" si="10"/>
        <v/>
      </c>
      <c r="C109" s="1" t="str">
        <f t="shared" si="11"/>
        <v/>
      </c>
      <c r="D109" s="1" t="str">
        <f t="shared" si="12"/>
        <v/>
      </c>
      <c r="G109" s="1" t="s">
        <v>81</v>
      </c>
      <c r="H109" s="1">
        <v>25.8</v>
      </c>
      <c r="I109" s="1" t="s">
        <v>32</v>
      </c>
      <c r="J109" s="13">
        <f t="shared" si="4"/>
        <v>25.8</v>
      </c>
      <c r="K109" s="1" t="s">
        <v>89</v>
      </c>
    </row>
    <row r="110" spans="1:11">
      <c r="A110" s="1" t="str">
        <f t="shared" si="9"/>
        <v/>
      </c>
      <c r="B110" s="1" t="str">
        <f t="shared" si="10"/>
        <v/>
      </c>
      <c r="C110" s="1" t="str">
        <f t="shared" si="11"/>
        <v/>
      </c>
      <c r="D110" s="1" t="str">
        <f t="shared" si="12"/>
        <v/>
      </c>
      <c r="G110" s="1" t="s">
        <v>81</v>
      </c>
      <c r="H110" s="1">
        <v>106.89</v>
      </c>
      <c r="I110" s="1" t="s">
        <v>32</v>
      </c>
      <c r="J110" s="13">
        <f t="shared" si="4"/>
        <v>106.89</v>
      </c>
      <c r="K110" s="1" t="s">
        <v>89</v>
      </c>
    </row>
    <row r="111" spans="1:11">
      <c r="A111" s="1" t="str">
        <f t="shared" si="9"/>
        <v/>
      </c>
      <c r="B111" s="1" t="str">
        <f t="shared" si="10"/>
        <v/>
      </c>
      <c r="C111" s="1" t="str">
        <f t="shared" si="11"/>
        <v/>
      </c>
      <c r="D111" s="1" t="str">
        <f t="shared" si="12"/>
        <v/>
      </c>
      <c r="G111" s="1" t="s">
        <v>111</v>
      </c>
      <c r="H111" s="1">
        <v>7.8</v>
      </c>
      <c r="I111" s="1" t="s">
        <v>32</v>
      </c>
      <c r="J111" s="13">
        <f t="shared" si="4"/>
        <v>7.8</v>
      </c>
      <c r="K111" s="1" t="s">
        <v>24</v>
      </c>
    </row>
    <row r="112" spans="1:11">
      <c r="A112" s="1" t="str">
        <f t="shared" si="9"/>
        <v/>
      </c>
      <c r="B112" s="1" t="str">
        <f t="shared" si="10"/>
        <v/>
      </c>
      <c r="C112" s="1" t="str">
        <f t="shared" si="11"/>
        <v/>
      </c>
      <c r="D112" s="1" t="str">
        <f t="shared" si="12"/>
        <v/>
      </c>
      <c r="G112" s="1" t="s">
        <v>202</v>
      </c>
      <c r="H112" s="1">
        <v>4</v>
      </c>
      <c r="I112" s="1" t="s">
        <v>32</v>
      </c>
      <c r="J112" s="13">
        <f t="shared" si="4"/>
        <v>4</v>
      </c>
      <c r="K112" s="1" t="s">
        <v>98</v>
      </c>
    </row>
    <row r="113" spans="1:11">
      <c r="A113" s="1" t="str">
        <f t="shared" si="9"/>
        <v/>
      </c>
      <c r="B113" s="1" t="str">
        <f t="shared" si="10"/>
        <v/>
      </c>
      <c r="C113" s="1" t="str">
        <f t="shared" si="11"/>
        <v/>
      </c>
      <c r="D113" s="1" t="str">
        <f t="shared" si="12"/>
        <v/>
      </c>
      <c r="G113" s="1" t="s">
        <v>203</v>
      </c>
      <c r="H113" s="1">
        <v>40</v>
      </c>
      <c r="I113" s="1" t="s">
        <v>32</v>
      </c>
      <c r="J113" s="13">
        <f t="shared" si="4"/>
        <v>40</v>
      </c>
      <c r="K113" s="1" t="s">
        <v>59</v>
      </c>
    </row>
    <row r="114" spans="1:11">
      <c r="A114" s="1" t="str">
        <f t="shared" si="9"/>
        <v/>
      </c>
      <c r="B114" s="1" t="str">
        <f t="shared" si="10"/>
        <v/>
      </c>
      <c r="C114" s="1" t="str">
        <f t="shared" si="11"/>
        <v/>
      </c>
      <c r="D114" s="1" t="str">
        <f t="shared" si="12"/>
        <v/>
      </c>
      <c r="G114" s="1" t="s">
        <v>204</v>
      </c>
      <c r="H114" s="1">
        <v>32</v>
      </c>
      <c r="I114" s="1" t="s">
        <v>32</v>
      </c>
      <c r="J114" s="13">
        <f t="shared" si="4"/>
        <v>32</v>
      </c>
      <c r="K114" s="1" t="s">
        <v>55</v>
      </c>
    </row>
    <row r="115" spans="1:11">
      <c r="A115" s="1" t="str">
        <f t="shared" si="9"/>
        <v/>
      </c>
      <c r="B115" s="1" t="str">
        <f t="shared" si="10"/>
        <v/>
      </c>
      <c r="C115" s="1" t="str">
        <f t="shared" si="11"/>
        <v/>
      </c>
      <c r="D115" s="1" t="str">
        <f t="shared" si="12"/>
        <v/>
      </c>
      <c r="G115" s="1" t="s">
        <v>205</v>
      </c>
      <c r="H115" s="1">
        <v>49</v>
      </c>
      <c r="I115" s="1" t="s">
        <v>32</v>
      </c>
      <c r="J115" s="13">
        <f t="shared" si="4"/>
        <v>49</v>
      </c>
      <c r="K115" s="1" t="s">
        <v>55</v>
      </c>
    </row>
    <row r="116" spans="1:11">
      <c r="A116" s="1" t="str">
        <f t="shared" si="9"/>
        <v/>
      </c>
      <c r="B116" s="1" t="str">
        <f t="shared" si="10"/>
        <v/>
      </c>
      <c r="C116" s="1" t="str">
        <f t="shared" si="11"/>
        <v/>
      </c>
      <c r="D116" s="1" t="str">
        <f t="shared" si="12"/>
        <v/>
      </c>
      <c r="G116" s="1" t="s">
        <v>87</v>
      </c>
      <c r="H116" s="1">
        <v>9.52</v>
      </c>
      <c r="I116" s="1" t="s">
        <v>32</v>
      </c>
      <c r="J116" s="13">
        <f t="shared" si="4"/>
        <v>9.52</v>
      </c>
      <c r="K116" s="1" t="s">
        <v>24</v>
      </c>
    </row>
    <row r="117" spans="1:11">
      <c r="A117" s="1" t="str">
        <f t="shared" si="9"/>
        <v/>
      </c>
      <c r="B117" s="1" t="str">
        <f t="shared" si="10"/>
        <v/>
      </c>
      <c r="C117" s="1" t="str">
        <f t="shared" si="11"/>
        <v/>
      </c>
      <c r="D117" s="1" t="str">
        <f t="shared" si="12"/>
        <v/>
      </c>
      <c r="G117" s="1" t="s">
        <v>201</v>
      </c>
      <c r="H117" s="1">
        <v>2.5</v>
      </c>
      <c r="I117" s="1" t="s">
        <v>32</v>
      </c>
      <c r="J117" s="13">
        <f t="shared" si="4"/>
        <v>2.5</v>
      </c>
      <c r="K117" s="1" t="s">
        <v>83</v>
      </c>
    </row>
    <row r="118" spans="1:11">
      <c r="A118" s="1" t="str">
        <f t="shared" si="9"/>
        <v/>
      </c>
      <c r="B118" s="1" t="str">
        <f t="shared" si="10"/>
        <v/>
      </c>
      <c r="C118" s="1" t="str">
        <f t="shared" si="11"/>
        <v/>
      </c>
      <c r="D118" s="1" t="str">
        <f t="shared" si="12"/>
        <v/>
      </c>
      <c r="G118" s="1" t="s">
        <v>192</v>
      </c>
      <c r="H118" s="1">
        <v>42.95</v>
      </c>
      <c r="I118" s="1" t="s">
        <v>32</v>
      </c>
      <c r="J118" s="13">
        <f t="shared" si="4"/>
        <v>42.95</v>
      </c>
      <c r="K118" s="1" t="s">
        <v>98</v>
      </c>
    </row>
    <row r="119" spans="1:11">
      <c r="A119" s="1" t="str">
        <f t="shared" si="9"/>
        <v/>
      </c>
      <c r="B119" s="1" t="str">
        <f t="shared" si="10"/>
        <v/>
      </c>
      <c r="C119" s="1" t="str">
        <f t="shared" si="11"/>
        <v/>
      </c>
      <c r="D119" s="1" t="str">
        <f t="shared" si="12"/>
        <v/>
      </c>
      <c r="G119" s="1" t="s">
        <v>207</v>
      </c>
      <c r="H119" s="1">
        <v>3.9</v>
      </c>
      <c r="I119" s="1" t="s">
        <v>32</v>
      </c>
      <c r="J119" s="13">
        <f t="shared" si="4"/>
        <v>3.9</v>
      </c>
      <c r="K119" s="1" t="s">
        <v>59</v>
      </c>
    </row>
    <row r="120" spans="1:11">
      <c r="A120" s="1" t="str">
        <f t="shared" si="9"/>
        <v/>
      </c>
      <c r="B120" s="1" t="str">
        <f t="shared" si="10"/>
        <v/>
      </c>
      <c r="C120" s="1" t="str">
        <f t="shared" si="11"/>
        <v/>
      </c>
      <c r="D120" s="1" t="str">
        <f t="shared" si="12"/>
        <v/>
      </c>
      <c r="G120" s="1" t="s">
        <v>207</v>
      </c>
      <c r="H120" s="1">
        <v>13.28</v>
      </c>
      <c r="I120" s="1" t="s">
        <v>32</v>
      </c>
      <c r="J120" s="13">
        <f t="shared" si="4"/>
        <v>13.28</v>
      </c>
      <c r="K120" s="1" t="s">
        <v>59</v>
      </c>
    </row>
    <row r="121" spans="1:11">
      <c r="A121" s="1" t="str">
        <f t="shared" si="9"/>
        <v/>
      </c>
      <c r="B121" s="1" t="str">
        <f t="shared" si="10"/>
        <v/>
      </c>
      <c r="C121" s="1" t="str">
        <f t="shared" si="11"/>
        <v/>
      </c>
      <c r="D121" s="1" t="str">
        <f t="shared" si="12"/>
        <v/>
      </c>
      <c r="G121" s="1" t="s">
        <v>209</v>
      </c>
      <c r="H121" s="1">
        <v>47.01</v>
      </c>
      <c r="I121" s="1" t="s">
        <v>32</v>
      </c>
      <c r="J121" s="13">
        <f t="shared" si="4"/>
        <v>47.01</v>
      </c>
      <c r="K121" s="1" t="s">
        <v>59</v>
      </c>
    </row>
    <row r="122" spans="1:11">
      <c r="A122" s="1" t="str">
        <f t="shared" si="9"/>
        <v/>
      </c>
      <c r="B122" s="1" t="str">
        <f t="shared" si="10"/>
        <v/>
      </c>
      <c r="C122" s="1" t="str">
        <f t="shared" si="11"/>
        <v/>
      </c>
      <c r="D122" s="1" t="str">
        <f t="shared" si="12"/>
        <v/>
      </c>
      <c r="G122" s="1" t="s">
        <v>115</v>
      </c>
      <c r="H122" s="1">
        <v>13</v>
      </c>
      <c r="I122" s="1" t="s">
        <v>32</v>
      </c>
      <c r="J122" s="13">
        <f t="shared" si="4"/>
        <v>13</v>
      </c>
      <c r="K122" s="1" t="s">
        <v>59</v>
      </c>
    </row>
    <row r="123" spans="1:11">
      <c r="A123" s="1" t="str">
        <f t="shared" si="9"/>
        <v/>
      </c>
      <c r="B123" s="1" t="str">
        <f t="shared" si="10"/>
        <v/>
      </c>
      <c r="C123" s="1" t="str">
        <f t="shared" si="11"/>
        <v/>
      </c>
      <c r="D123" s="1" t="str">
        <f t="shared" si="12"/>
        <v/>
      </c>
      <c r="G123" s="1" t="s">
        <v>87</v>
      </c>
      <c r="H123" s="1">
        <v>14.59</v>
      </c>
      <c r="I123" s="1" t="s">
        <v>32</v>
      </c>
      <c r="J123" s="13">
        <f t="shared" si="4"/>
        <v>14.59</v>
      </c>
      <c r="K123" s="1" t="s">
        <v>24</v>
      </c>
    </row>
    <row r="124" spans="1:11">
      <c r="A124" s="1" t="str">
        <f t="shared" si="9"/>
        <v/>
      </c>
      <c r="B124" s="1" t="str">
        <f t="shared" si="10"/>
        <v/>
      </c>
      <c r="C124" s="1" t="str">
        <f t="shared" si="11"/>
        <v/>
      </c>
      <c r="D124" s="1" t="str">
        <f t="shared" si="12"/>
        <v/>
      </c>
      <c r="G124" s="1" t="s">
        <v>81</v>
      </c>
      <c r="H124" s="1">
        <v>87.21</v>
      </c>
      <c r="I124" s="1" t="s">
        <v>32</v>
      </c>
      <c r="J124" s="13">
        <f t="shared" si="4"/>
        <v>87.21</v>
      </c>
      <c r="K124" s="1" t="s">
        <v>89</v>
      </c>
    </row>
    <row r="125" spans="1:11">
      <c r="A125" s="1" t="str">
        <f t="shared" si="9"/>
        <v/>
      </c>
      <c r="B125" s="1" t="str">
        <f t="shared" si="10"/>
        <v/>
      </c>
      <c r="C125" s="1" t="str">
        <f t="shared" si="11"/>
        <v/>
      </c>
      <c r="D125" s="1" t="str">
        <f t="shared" si="12"/>
        <v/>
      </c>
      <c r="G125" s="1" t="s">
        <v>211</v>
      </c>
      <c r="H125" s="1">
        <v>180.05</v>
      </c>
      <c r="I125" s="1" t="s">
        <v>32</v>
      </c>
      <c r="J125" s="13">
        <f t="shared" si="4"/>
        <v>180.05</v>
      </c>
      <c r="K125" s="1" t="s">
        <v>89</v>
      </c>
    </row>
    <row r="126" spans="1:11">
      <c r="A126" s="1" t="str">
        <f t="shared" si="9"/>
        <v/>
      </c>
      <c r="B126" s="1" t="str">
        <f t="shared" si="10"/>
        <v/>
      </c>
      <c r="C126" s="1" t="str">
        <f t="shared" si="11"/>
        <v/>
      </c>
      <c r="D126" s="1" t="str">
        <f t="shared" si="12"/>
        <v/>
      </c>
      <c r="G126" s="1" t="s">
        <v>87</v>
      </c>
      <c r="H126" s="1">
        <v>10.46</v>
      </c>
      <c r="I126" s="1" t="s">
        <v>32</v>
      </c>
      <c r="J126" s="13">
        <f t="shared" si="4"/>
        <v>10.46</v>
      </c>
      <c r="K126" s="1" t="s">
        <v>24</v>
      </c>
    </row>
    <row r="127" spans="1:11">
      <c r="A127" s="1" t="str">
        <f t="shared" si="9"/>
        <v/>
      </c>
      <c r="B127" s="1" t="str">
        <f t="shared" si="10"/>
        <v/>
      </c>
      <c r="C127" s="1" t="str">
        <f t="shared" si="11"/>
        <v/>
      </c>
      <c r="D127" s="1" t="str">
        <f t="shared" si="12"/>
        <v/>
      </c>
      <c r="G127" s="1" t="s">
        <v>214</v>
      </c>
      <c r="H127" s="1">
        <v>11.2</v>
      </c>
      <c r="I127" s="1" t="s">
        <v>32</v>
      </c>
      <c r="J127" s="13">
        <f t="shared" si="4"/>
        <v>11.2</v>
      </c>
      <c r="K127" s="1" t="s">
        <v>98</v>
      </c>
    </row>
    <row r="128" spans="1:11">
      <c r="A128" s="1" t="str">
        <f t="shared" si="9"/>
        <v/>
      </c>
      <c r="B128" s="1" t="str">
        <f t="shared" si="10"/>
        <v/>
      </c>
      <c r="C128" s="1" t="str">
        <f t="shared" si="11"/>
        <v/>
      </c>
      <c r="D128" s="1" t="str">
        <f t="shared" si="12"/>
        <v/>
      </c>
      <c r="G128" s="1" t="s">
        <v>92</v>
      </c>
      <c r="H128" s="1">
        <v>75.61</v>
      </c>
      <c r="I128" s="1" t="s">
        <v>32</v>
      </c>
      <c r="J128" s="13">
        <f t="shared" si="4"/>
        <v>75.61</v>
      </c>
      <c r="K128" s="1" t="s">
        <v>24</v>
      </c>
    </row>
    <row r="129" spans="1:11">
      <c r="A129" s="1" t="str">
        <f t="shared" si="9"/>
        <v/>
      </c>
      <c r="B129" s="1" t="str">
        <f t="shared" si="10"/>
        <v/>
      </c>
      <c r="C129" s="1" t="str">
        <f t="shared" si="11"/>
        <v/>
      </c>
      <c r="D129" s="1" t="str">
        <f t="shared" si="12"/>
        <v/>
      </c>
      <c r="G129" s="1" t="s">
        <v>87</v>
      </c>
      <c r="H129" s="1">
        <v>86.19</v>
      </c>
      <c r="I129" s="1" t="s">
        <v>32</v>
      </c>
      <c r="J129" s="13">
        <f t="shared" si="4"/>
        <v>86.19</v>
      </c>
      <c r="K129" s="1" t="s">
        <v>24</v>
      </c>
    </row>
    <row r="130" spans="1:11">
      <c r="A130" s="1" t="str">
        <f t="shared" si="9"/>
        <v/>
      </c>
      <c r="B130" s="1" t="str">
        <f t="shared" si="10"/>
        <v/>
      </c>
      <c r="C130" s="1" t="str">
        <f t="shared" si="11"/>
        <v/>
      </c>
      <c r="D130" s="1" t="str">
        <f t="shared" si="12"/>
        <v/>
      </c>
      <c r="G130" s="1" t="s">
        <v>87</v>
      </c>
      <c r="H130" s="1">
        <v>228.3</v>
      </c>
      <c r="I130" s="1" t="s">
        <v>32</v>
      </c>
      <c r="J130" s="13">
        <f t="shared" si="4"/>
        <v>228.3</v>
      </c>
      <c r="K130" s="1" t="s">
        <v>24</v>
      </c>
    </row>
    <row r="131" spans="1:11">
      <c r="A131" s="1" t="str">
        <f t="shared" si="9"/>
        <v/>
      </c>
      <c r="B131" s="1" t="str">
        <f t="shared" si="10"/>
        <v/>
      </c>
      <c r="C131" s="1" t="str">
        <f t="shared" si="11"/>
        <v/>
      </c>
      <c r="D131" s="1" t="str">
        <f t="shared" si="12"/>
        <v/>
      </c>
      <c r="G131" s="1" t="s">
        <v>217</v>
      </c>
      <c r="H131" s="1">
        <v>2000</v>
      </c>
      <c r="I131" s="1" t="s">
        <v>32</v>
      </c>
      <c r="J131" s="13">
        <f t="shared" si="4"/>
        <v>2000</v>
      </c>
      <c r="K131" s="1" t="s">
        <v>1</v>
      </c>
    </row>
    <row r="132" spans="1:11">
      <c r="A132" s="1" t="str">
        <f t="shared" si="9"/>
        <v/>
      </c>
      <c r="B132" s="1" t="str">
        <f t="shared" si="10"/>
        <v/>
      </c>
      <c r="C132" s="1" t="str">
        <f t="shared" si="11"/>
        <v/>
      </c>
      <c r="D132" s="1" t="str">
        <f t="shared" si="12"/>
        <v/>
      </c>
      <c r="G132" s="1" t="s">
        <v>84</v>
      </c>
      <c r="H132" s="1">
        <v>46.7</v>
      </c>
      <c r="I132" s="1" t="s">
        <v>32</v>
      </c>
      <c r="J132" s="13">
        <f t="shared" si="4"/>
        <v>46.7</v>
      </c>
      <c r="K132" s="1" t="s">
        <v>85</v>
      </c>
    </row>
    <row r="133" spans="1:11">
      <c r="A133" s="1" t="str">
        <f t="shared" si="9"/>
        <v/>
      </c>
      <c r="B133" s="1" t="str">
        <f t="shared" si="10"/>
        <v/>
      </c>
      <c r="C133" s="1" t="str">
        <f t="shared" si="11"/>
        <v/>
      </c>
      <c r="D133" s="1" t="str">
        <f t="shared" si="12"/>
        <v/>
      </c>
      <c r="G133" s="1" t="s">
        <v>87</v>
      </c>
      <c r="H133" s="1">
        <v>81.36</v>
      </c>
      <c r="I133" s="1" t="s">
        <v>32</v>
      </c>
      <c r="J133" s="13">
        <f t="shared" si="4"/>
        <v>81.36</v>
      </c>
      <c r="K133" s="1" t="s">
        <v>24</v>
      </c>
    </row>
    <row r="134" spans="1:11">
      <c r="A134" s="1" t="str">
        <f t="shared" si="9"/>
        <v/>
      </c>
      <c r="B134" s="1" t="str">
        <f t="shared" si="10"/>
        <v/>
      </c>
      <c r="C134" s="1" t="str">
        <f t="shared" si="11"/>
        <v/>
      </c>
      <c r="D134" s="1" t="str">
        <f t="shared" si="12"/>
        <v/>
      </c>
      <c r="G134" s="1" t="s">
        <v>109</v>
      </c>
      <c r="H134" s="1">
        <v>3.5</v>
      </c>
      <c r="I134" s="1" t="s">
        <v>32</v>
      </c>
      <c r="J134" s="13">
        <f t="shared" si="4"/>
        <v>3.5</v>
      </c>
      <c r="K134" s="1" t="s">
        <v>98</v>
      </c>
    </row>
    <row r="135" spans="1:11">
      <c r="A135" s="1" t="str">
        <f t="shared" si="9"/>
        <v/>
      </c>
      <c r="B135" s="1" t="str">
        <f t="shared" si="10"/>
        <v/>
      </c>
      <c r="C135" s="1" t="str">
        <f t="shared" si="11"/>
        <v/>
      </c>
      <c r="D135" s="1" t="str">
        <f t="shared" si="12"/>
        <v/>
      </c>
      <c r="G135" s="1" t="s">
        <v>221</v>
      </c>
      <c r="H135" s="1">
        <v>20</v>
      </c>
      <c r="I135" s="1" t="s">
        <v>32</v>
      </c>
      <c r="J135" s="13">
        <f t="shared" si="4"/>
        <v>20</v>
      </c>
      <c r="K135" s="1" t="s">
        <v>98</v>
      </c>
    </row>
    <row r="136" spans="1:11">
      <c r="A136" s="1" t="str">
        <f t="shared" si="9"/>
        <v/>
      </c>
      <c r="B136" s="1" t="str">
        <f t="shared" si="10"/>
        <v/>
      </c>
      <c r="C136" s="1" t="str">
        <f t="shared" si="11"/>
        <v/>
      </c>
      <c r="D136" s="1" t="str">
        <f t="shared" si="12"/>
        <v/>
      </c>
      <c r="G136" s="1" t="s">
        <v>109</v>
      </c>
      <c r="H136" s="1">
        <v>8.5</v>
      </c>
      <c r="I136" s="1" t="s">
        <v>32</v>
      </c>
      <c r="J136" s="13">
        <f t="shared" si="4"/>
        <v>8.5</v>
      </c>
      <c r="K136" s="1" t="s">
        <v>98</v>
      </c>
    </row>
    <row r="137" spans="1:11">
      <c r="A137" s="1" t="str">
        <f t="shared" si="9"/>
        <v/>
      </c>
      <c r="B137" s="1" t="str">
        <f t="shared" si="10"/>
        <v/>
      </c>
      <c r="C137" s="1" t="str">
        <f t="shared" si="11"/>
        <v/>
      </c>
      <c r="D137" s="1" t="str">
        <f t="shared" si="12"/>
        <v/>
      </c>
      <c r="G137" s="1" t="s">
        <v>109</v>
      </c>
      <c r="H137" s="1">
        <v>9</v>
      </c>
      <c r="I137" s="1" t="s">
        <v>32</v>
      </c>
      <c r="J137" s="13">
        <f t="shared" si="4"/>
        <v>9</v>
      </c>
      <c r="K137" s="1" t="s">
        <v>98</v>
      </c>
    </row>
    <row r="138" spans="1:11">
      <c r="A138" s="1" t="str">
        <f t="shared" si="9"/>
        <v/>
      </c>
      <c r="B138" s="1" t="str">
        <f t="shared" si="10"/>
        <v/>
      </c>
      <c r="C138" s="1" t="str">
        <f t="shared" si="11"/>
        <v/>
      </c>
      <c r="D138" s="1" t="str">
        <f t="shared" si="12"/>
        <v/>
      </c>
      <c r="G138" s="1" t="s">
        <v>225</v>
      </c>
      <c r="H138" s="1">
        <v>25.99</v>
      </c>
      <c r="I138" s="1" t="s">
        <v>32</v>
      </c>
      <c r="J138" s="13">
        <f t="shared" si="4"/>
        <v>25.99</v>
      </c>
      <c r="K138" s="1" t="s">
        <v>83</v>
      </c>
    </row>
    <row r="139" spans="1:11">
      <c r="A139" s="1" t="str">
        <f t="shared" si="9"/>
        <v/>
      </c>
      <c r="B139" s="1" t="str">
        <f t="shared" si="10"/>
        <v/>
      </c>
      <c r="C139" s="1" t="str">
        <f t="shared" si="11"/>
        <v/>
      </c>
      <c r="D139" s="1" t="str">
        <f t="shared" si="12"/>
        <v/>
      </c>
      <c r="G139" s="1" t="s">
        <v>81</v>
      </c>
      <c r="H139" s="1">
        <v>119.12</v>
      </c>
      <c r="I139" s="1" t="s">
        <v>32</v>
      </c>
      <c r="J139" s="13">
        <f t="shared" si="4"/>
        <v>119.12</v>
      </c>
      <c r="K139" s="1" t="s">
        <v>89</v>
      </c>
    </row>
    <row r="140" spans="1:11">
      <c r="A140" s="1" t="str">
        <f t="shared" si="9"/>
        <v/>
      </c>
      <c r="B140" s="1" t="str">
        <f t="shared" si="10"/>
        <v/>
      </c>
      <c r="C140" s="1" t="str">
        <f t="shared" si="11"/>
        <v/>
      </c>
      <c r="D140" s="1" t="str">
        <f t="shared" si="12"/>
        <v/>
      </c>
      <c r="G140" s="1" t="s">
        <v>86</v>
      </c>
      <c r="H140" s="1">
        <v>17.579999999999998</v>
      </c>
      <c r="I140" s="1" t="s">
        <v>32</v>
      </c>
      <c r="J140" s="13">
        <f t="shared" si="4"/>
        <v>17.579999999999998</v>
      </c>
      <c r="K140" s="1" t="s">
        <v>59</v>
      </c>
    </row>
    <row r="141" spans="1:11">
      <c r="A141" s="1" t="str">
        <f t="shared" si="9"/>
        <v/>
      </c>
      <c r="B141" s="1" t="str">
        <f t="shared" si="10"/>
        <v/>
      </c>
      <c r="C141" s="1" t="str">
        <f t="shared" si="11"/>
        <v/>
      </c>
      <c r="D141" s="1" t="str">
        <f t="shared" si="12"/>
        <v/>
      </c>
      <c r="G141" s="1" t="s">
        <v>227</v>
      </c>
      <c r="H141" s="1">
        <v>72</v>
      </c>
      <c r="I141" s="1" t="s">
        <v>32</v>
      </c>
      <c r="J141" s="13">
        <f t="shared" si="4"/>
        <v>72</v>
      </c>
      <c r="K141" s="1" t="s">
        <v>83</v>
      </c>
    </row>
    <row r="142" spans="1:11">
      <c r="A142" s="1" t="str">
        <f t="shared" si="9"/>
        <v/>
      </c>
      <c r="B142" s="1" t="str">
        <f t="shared" si="10"/>
        <v/>
      </c>
      <c r="C142" s="1" t="str">
        <f t="shared" si="11"/>
        <v/>
      </c>
      <c r="D142" s="1" t="str">
        <f t="shared" si="12"/>
        <v/>
      </c>
      <c r="G142" s="1" t="s">
        <v>111</v>
      </c>
      <c r="H142" s="1">
        <v>6.9</v>
      </c>
      <c r="I142" s="1" t="s">
        <v>32</v>
      </c>
      <c r="J142" s="13">
        <f t="shared" si="4"/>
        <v>6.9</v>
      </c>
      <c r="K142" s="1" t="s">
        <v>24</v>
      </c>
    </row>
    <row r="143" spans="1:11">
      <c r="A143" s="1" t="str">
        <f t="shared" si="9"/>
        <v/>
      </c>
      <c r="B143" s="1" t="str">
        <f t="shared" si="10"/>
        <v/>
      </c>
      <c r="C143" s="1" t="str">
        <f t="shared" si="11"/>
        <v/>
      </c>
      <c r="D143" s="1" t="str">
        <f t="shared" si="12"/>
        <v/>
      </c>
      <c r="G143" s="1" t="s">
        <v>112</v>
      </c>
      <c r="H143" s="1">
        <v>19.75</v>
      </c>
      <c r="I143" s="1" t="s">
        <v>32</v>
      </c>
      <c r="J143" s="13">
        <f t="shared" si="4"/>
        <v>19.75</v>
      </c>
      <c r="K143" s="1" t="s">
        <v>89</v>
      </c>
    </row>
    <row r="144" spans="1:11">
      <c r="A144" s="1" t="str">
        <f t="shared" si="9"/>
        <v/>
      </c>
      <c r="B144" s="1" t="str">
        <f t="shared" si="10"/>
        <v/>
      </c>
      <c r="C144" s="1" t="str">
        <f t="shared" si="11"/>
        <v/>
      </c>
      <c r="D144" s="1" t="str">
        <f t="shared" si="12"/>
        <v/>
      </c>
      <c r="G144" s="1" t="s">
        <v>112</v>
      </c>
      <c r="H144" s="1">
        <v>22.5</v>
      </c>
      <c r="I144" s="1" t="s">
        <v>32</v>
      </c>
      <c r="J144" s="13">
        <f t="shared" si="4"/>
        <v>22.5</v>
      </c>
      <c r="K144" s="1" t="s">
        <v>89</v>
      </c>
    </row>
    <row r="145" spans="1:11">
      <c r="A145" s="1" t="str">
        <f t="shared" si="9"/>
        <v/>
      </c>
      <c r="B145" s="1" t="str">
        <f t="shared" si="10"/>
        <v/>
      </c>
      <c r="C145" s="1" t="str">
        <f t="shared" si="11"/>
        <v/>
      </c>
      <c r="D145" s="1" t="str">
        <f t="shared" si="12"/>
        <v/>
      </c>
      <c r="G145" s="1" t="s">
        <v>112</v>
      </c>
      <c r="H145" s="1">
        <v>75.900000000000006</v>
      </c>
      <c r="I145" s="1" t="s">
        <v>32</v>
      </c>
      <c r="J145" s="13">
        <f t="shared" si="4"/>
        <v>75.900000000000006</v>
      </c>
      <c r="K145" s="1" t="s">
        <v>89</v>
      </c>
    </row>
    <row r="146" spans="1:11">
      <c r="A146" s="1" t="str">
        <f t="shared" si="9"/>
        <v/>
      </c>
      <c r="B146" s="1" t="str">
        <f t="shared" si="10"/>
        <v/>
      </c>
      <c r="C146" s="1" t="str">
        <f t="shared" si="11"/>
        <v/>
      </c>
      <c r="D146" s="1" t="str">
        <f t="shared" si="12"/>
        <v/>
      </c>
      <c r="G146" s="1" t="s">
        <v>228</v>
      </c>
      <c r="H146" s="1">
        <v>120</v>
      </c>
      <c r="I146" s="1" t="s">
        <v>32</v>
      </c>
      <c r="J146" s="13">
        <f t="shared" si="4"/>
        <v>120</v>
      </c>
      <c r="K146" s="1" t="s">
        <v>83</v>
      </c>
    </row>
    <row r="147" spans="1:11">
      <c r="A147" s="1" t="str">
        <f t="shared" si="9"/>
        <v/>
      </c>
      <c r="B147" s="1" t="str">
        <f t="shared" si="10"/>
        <v/>
      </c>
      <c r="C147" s="1" t="str">
        <f t="shared" si="11"/>
        <v/>
      </c>
      <c r="D147" s="1" t="str">
        <f t="shared" si="12"/>
        <v/>
      </c>
      <c r="G147" s="1" t="s">
        <v>111</v>
      </c>
      <c r="H147" s="1">
        <v>10.95</v>
      </c>
      <c r="I147" s="1" t="s">
        <v>32</v>
      </c>
      <c r="J147" s="13">
        <f t="shared" si="4"/>
        <v>10.95</v>
      </c>
      <c r="K147" s="1" t="s">
        <v>24</v>
      </c>
    </row>
    <row r="148" spans="1:11">
      <c r="A148" s="1" t="str">
        <f t="shared" si="9"/>
        <v/>
      </c>
      <c r="B148" s="1" t="str">
        <f t="shared" si="10"/>
        <v/>
      </c>
      <c r="C148" s="1" t="str">
        <f t="shared" si="11"/>
        <v/>
      </c>
      <c r="D148" s="1" t="str">
        <f t="shared" si="12"/>
        <v/>
      </c>
      <c r="G148" s="1" t="s">
        <v>109</v>
      </c>
      <c r="H148" s="1">
        <v>5</v>
      </c>
      <c r="I148" s="1" t="s">
        <v>32</v>
      </c>
      <c r="J148" s="13">
        <f t="shared" si="4"/>
        <v>5</v>
      </c>
      <c r="K148" s="1" t="s">
        <v>98</v>
      </c>
    </row>
    <row r="149" spans="1:11">
      <c r="A149" s="1" t="str">
        <f t="shared" si="9"/>
        <v/>
      </c>
      <c r="B149" s="1" t="str">
        <f t="shared" si="10"/>
        <v/>
      </c>
      <c r="C149" s="1" t="str">
        <f t="shared" si="11"/>
        <v/>
      </c>
      <c r="D149" s="1" t="str">
        <f t="shared" si="12"/>
        <v/>
      </c>
      <c r="G149" s="1" t="s">
        <v>229</v>
      </c>
      <c r="H149" s="1">
        <v>6.69</v>
      </c>
      <c r="I149" s="1" t="s">
        <v>32</v>
      </c>
      <c r="J149" s="13">
        <f t="shared" si="4"/>
        <v>6.69</v>
      </c>
      <c r="K149" s="1" t="s">
        <v>24</v>
      </c>
    </row>
    <row r="150" spans="1:11">
      <c r="A150" s="1" t="str">
        <f t="shared" si="9"/>
        <v/>
      </c>
      <c r="B150" s="1" t="str">
        <f t="shared" si="10"/>
        <v/>
      </c>
      <c r="C150" s="1" t="str">
        <f t="shared" si="11"/>
        <v/>
      </c>
      <c r="D150" s="1" t="str">
        <f t="shared" si="12"/>
        <v/>
      </c>
      <c r="G150" s="1" t="s">
        <v>84</v>
      </c>
      <c r="H150" s="1">
        <v>26.5</v>
      </c>
      <c r="I150" s="1" t="s">
        <v>32</v>
      </c>
      <c r="J150" s="13">
        <f t="shared" si="4"/>
        <v>26.5</v>
      </c>
      <c r="K150" s="1" t="s">
        <v>85</v>
      </c>
    </row>
    <row r="151" spans="1:11">
      <c r="A151" s="1" t="str">
        <f t="shared" si="9"/>
        <v/>
      </c>
      <c r="B151" s="1" t="str">
        <f t="shared" si="10"/>
        <v/>
      </c>
      <c r="C151" s="1" t="str">
        <f t="shared" si="11"/>
        <v/>
      </c>
      <c r="D151" s="1" t="str">
        <f t="shared" si="12"/>
        <v/>
      </c>
      <c r="G151" s="1" t="s">
        <v>115</v>
      </c>
      <c r="H151" s="1">
        <v>13</v>
      </c>
      <c r="I151" s="1" t="s">
        <v>32</v>
      </c>
      <c r="J151" s="13">
        <f t="shared" si="4"/>
        <v>13</v>
      </c>
      <c r="K151" s="1" t="s">
        <v>59</v>
      </c>
    </row>
    <row r="152" spans="1:11">
      <c r="A152" s="1" t="str">
        <f t="shared" si="9"/>
        <v/>
      </c>
      <c r="B152" s="1" t="str">
        <f t="shared" si="10"/>
        <v/>
      </c>
      <c r="C152" s="1" t="str">
        <f t="shared" si="11"/>
        <v/>
      </c>
      <c r="D152" s="1" t="str">
        <f t="shared" si="12"/>
        <v/>
      </c>
      <c r="G152" s="1" t="s">
        <v>112</v>
      </c>
      <c r="H152" s="1">
        <v>42</v>
      </c>
      <c r="I152" s="1" t="s">
        <v>32</v>
      </c>
      <c r="J152" s="13">
        <f t="shared" si="4"/>
        <v>42</v>
      </c>
      <c r="K152" s="1" t="s">
        <v>89</v>
      </c>
    </row>
    <row r="153" spans="1:11">
      <c r="A153" s="1" t="str">
        <f t="shared" si="9"/>
        <v/>
      </c>
      <c r="B153" s="1" t="str">
        <f t="shared" si="10"/>
        <v/>
      </c>
      <c r="C153" s="1" t="str">
        <f t="shared" si="11"/>
        <v/>
      </c>
      <c r="D153" s="1" t="str">
        <f t="shared" si="12"/>
        <v/>
      </c>
      <c r="G153" s="1" t="s">
        <v>121</v>
      </c>
      <c r="H153" s="1">
        <v>144.19999999999999</v>
      </c>
      <c r="I153" s="1" t="s">
        <v>32</v>
      </c>
      <c r="J153" s="13">
        <f t="shared" si="4"/>
        <v>144.19999999999999</v>
      </c>
      <c r="K153" s="1" t="s">
        <v>98</v>
      </c>
    </row>
    <row r="154" spans="1:11">
      <c r="A154" s="1" t="str">
        <f t="shared" si="9"/>
        <v/>
      </c>
      <c r="B154" s="1" t="str">
        <f t="shared" si="10"/>
        <v/>
      </c>
      <c r="C154" s="1" t="str">
        <f t="shared" si="11"/>
        <v/>
      </c>
      <c r="D154" s="1" t="str">
        <f t="shared" si="12"/>
        <v/>
      </c>
      <c r="G154" s="1" t="s">
        <v>81</v>
      </c>
      <c r="H154" s="1">
        <v>84.61</v>
      </c>
      <c r="I154" s="1" t="s">
        <v>32</v>
      </c>
      <c r="J154" s="13">
        <f t="shared" si="4"/>
        <v>84.61</v>
      </c>
      <c r="K154" s="1" t="s">
        <v>89</v>
      </c>
    </row>
    <row r="155" spans="1:11">
      <c r="A155" s="1" t="str">
        <f t="shared" si="9"/>
        <v/>
      </c>
      <c r="B155" s="1" t="str">
        <f t="shared" si="10"/>
        <v/>
      </c>
      <c r="C155" s="1" t="str">
        <f t="shared" si="11"/>
        <v/>
      </c>
      <c r="D155" s="1" t="str">
        <f t="shared" si="12"/>
        <v/>
      </c>
      <c r="G155" s="1" t="s">
        <v>66</v>
      </c>
      <c r="H155" s="1">
        <v>52.31</v>
      </c>
      <c r="I155" s="1" t="s">
        <v>32</v>
      </c>
      <c r="J155" s="13">
        <f t="shared" si="4"/>
        <v>52.31</v>
      </c>
      <c r="K155" s="1" t="s">
        <v>26</v>
      </c>
    </row>
    <row r="156" spans="1:11">
      <c r="A156" s="1" t="str">
        <f t="shared" si="9"/>
        <v>Reste prévu</v>
      </c>
      <c r="B156" s="1" t="e">
        <f t="shared" si="10"/>
        <v>#REF!</v>
      </c>
      <c r="C156" s="1" t="str">
        <f t="shared" si="11"/>
        <v>Reste réel</v>
      </c>
      <c r="D156" s="1" t="e">
        <f t="shared" si="12"/>
        <v>#REF!</v>
      </c>
      <c r="J156" s="13">
        <f t="shared" si="4"/>
        <v>0</v>
      </c>
      <c r="K156" s="1"/>
    </row>
    <row r="157" spans="1:11">
      <c r="A157" s="1" t="str">
        <f t="shared" si="9"/>
        <v/>
      </c>
      <c r="B157" s="1" t="str">
        <f t="shared" si="10"/>
        <v/>
      </c>
      <c r="C157" s="1" t="str">
        <f t="shared" si="11"/>
        <v/>
      </c>
      <c r="D157" s="1" t="str">
        <f t="shared" si="12"/>
        <v/>
      </c>
      <c r="J157" s="13">
        <f t="shared" si="4"/>
        <v>0</v>
      </c>
      <c r="K157" s="1"/>
    </row>
    <row r="158" spans="1:11">
      <c r="A158" s="1" t="str">
        <f t="shared" si="9"/>
        <v/>
      </c>
      <c r="B158" s="1" t="str">
        <f t="shared" si="10"/>
        <v/>
      </c>
      <c r="C158" s="1" t="str">
        <f t="shared" si="11"/>
        <v/>
      </c>
      <c r="D158" s="1" t="str">
        <f t="shared" si="12"/>
        <v/>
      </c>
      <c r="J158" s="13">
        <f t="shared" si="4"/>
        <v>0</v>
      </c>
      <c r="K158" s="1"/>
    </row>
    <row r="159" spans="1:11">
      <c r="A159" s="1" t="str">
        <f t="shared" si="9"/>
        <v/>
      </c>
      <c r="B159" s="1" t="str">
        <f t="shared" si="10"/>
        <v/>
      </c>
      <c r="C159" s="1" t="str">
        <f t="shared" si="11"/>
        <v/>
      </c>
      <c r="D159" s="1" t="str">
        <f t="shared" si="12"/>
        <v/>
      </c>
      <c r="J159" s="13">
        <f t="shared" si="4"/>
        <v>0</v>
      </c>
      <c r="K159" s="1"/>
    </row>
    <row r="160" spans="1:11">
      <c r="A160" s="1" t="str">
        <f t="shared" si="9"/>
        <v/>
      </c>
      <c r="B160" s="1" t="str">
        <f t="shared" si="10"/>
        <v/>
      </c>
      <c r="C160" s="1" t="str">
        <f t="shared" si="11"/>
        <v/>
      </c>
      <c r="D160" s="1" t="str">
        <f t="shared" si="12"/>
        <v/>
      </c>
      <c r="J160" s="13">
        <f t="shared" si="4"/>
        <v>0</v>
      </c>
    </row>
    <row r="161" spans="1:11">
      <c r="A161" s="1" t="str">
        <f t="shared" si="9"/>
        <v/>
      </c>
      <c r="B161" s="1" t="str">
        <f t="shared" si="10"/>
        <v/>
      </c>
      <c r="C161" s="1" t="str">
        <f t="shared" si="11"/>
        <v/>
      </c>
      <c r="D161" s="1" t="str">
        <f t="shared" si="12"/>
        <v/>
      </c>
      <c r="J161" s="13">
        <f t="shared" si="4"/>
        <v>0</v>
      </c>
    </row>
    <row r="162" spans="1:11">
      <c r="A162" s="1" t="str">
        <f t="shared" si="9"/>
        <v/>
      </c>
      <c r="B162" s="1" t="str">
        <f t="shared" si="10"/>
        <v/>
      </c>
      <c r="C162" s="1" t="str">
        <f t="shared" si="11"/>
        <v/>
      </c>
      <c r="D162" s="1" t="str">
        <f t="shared" si="12"/>
        <v/>
      </c>
      <c r="J162" s="13">
        <f t="shared" si="4"/>
        <v>0</v>
      </c>
    </row>
    <row r="163" spans="1:11">
      <c r="A163" s="1" t="str">
        <f t="shared" si="9"/>
        <v/>
      </c>
      <c r="B163" s="1" t="str">
        <f t="shared" si="10"/>
        <v/>
      </c>
      <c r="C163" s="1" t="str">
        <f t="shared" si="11"/>
        <v/>
      </c>
      <c r="D163" s="1" t="str">
        <f t="shared" si="12"/>
        <v/>
      </c>
      <c r="J163" s="13">
        <f t="shared" si="4"/>
        <v>0</v>
      </c>
      <c r="K163" s="1"/>
    </row>
    <row r="164" spans="1:11">
      <c r="A164" s="1" t="str">
        <f t="shared" si="9"/>
        <v/>
      </c>
      <c r="B164" s="1" t="str">
        <f t="shared" si="10"/>
        <v/>
      </c>
      <c r="C164" s="1" t="str">
        <f t="shared" si="11"/>
        <v/>
      </c>
      <c r="D164" s="1" t="str">
        <f t="shared" si="12"/>
        <v/>
      </c>
      <c r="J164" s="13">
        <f t="shared" si="4"/>
        <v>0</v>
      </c>
      <c r="K164" s="1"/>
    </row>
    <row r="165" spans="1:11">
      <c r="A165" s="1" t="str">
        <f t="shared" si="9"/>
        <v/>
      </c>
      <c r="B165" s="1" t="str">
        <f t="shared" si="10"/>
        <v/>
      </c>
      <c r="C165" s="1" t="str">
        <f t="shared" si="11"/>
        <v/>
      </c>
      <c r="D165" s="1" t="str">
        <f t="shared" si="12"/>
        <v/>
      </c>
      <c r="J165" s="13">
        <f t="shared" si="4"/>
        <v>0</v>
      </c>
      <c r="K165" s="1"/>
    </row>
    <row r="166" spans="1:11">
      <c r="A166" s="1" t="str">
        <f t="shared" si="9"/>
        <v/>
      </c>
      <c r="B166" s="1" t="str">
        <f t="shared" si="10"/>
        <v/>
      </c>
      <c r="C166" s="1" t="str">
        <f t="shared" si="11"/>
        <v/>
      </c>
      <c r="D166" s="1" t="str">
        <f t="shared" si="12"/>
        <v/>
      </c>
      <c r="J166" s="13">
        <f t="shared" si="4"/>
        <v>0</v>
      </c>
      <c r="K166" s="1"/>
    </row>
    <row r="167" spans="1:11">
      <c r="A167" s="1" t="str">
        <f t="shared" si="9"/>
        <v/>
      </c>
      <c r="B167" s="1" t="str">
        <f t="shared" si="10"/>
        <v/>
      </c>
      <c r="C167" s="1" t="str">
        <f t="shared" si="11"/>
        <v/>
      </c>
      <c r="D167" s="1" t="str">
        <f t="shared" si="12"/>
        <v/>
      </c>
      <c r="J167" s="13">
        <f t="shared" si="4"/>
        <v>0</v>
      </c>
      <c r="K167" s="1"/>
    </row>
    <row r="168" spans="1:11">
      <c r="A168" s="1" t="str">
        <f t="shared" si="9"/>
        <v/>
      </c>
      <c r="B168" s="1" t="str">
        <f t="shared" si="10"/>
        <v/>
      </c>
      <c r="C168" s="1" t="str">
        <f t="shared" si="11"/>
        <v/>
      </c>
      <c r="D168" s="1" t="str">
        <f t="shared" si="12"/>
        <v/>
      </c>
      <c r="J168" s="13">
        <f t="shared" si="4"/>
        <v>0</v>
      </c>
      <c r="K168" s="1"/>
    </row>
    <row r="169" spans="1:11">
      <c r="A169" s="1" t="str">
        <f t="shared" si="9"/>
        <v/>
      </c>
      <c r="B169" s="1" t="str">
        <f t="shared" si="10"/>
        <v/>
      </c>
      <c r="C169" s="1" t="str">
        <f t="shared" si="11"/>
        <v/>
      </c>
      <c r="D169" s="1" t="str">
        <f t="shared" si="12"/>
        <v/>
      </c>
      <c r="J169" s="13">
        <f t="shared" si="4"/>
        <v>0</v>
      </c>
      <c r="K169" s="1"/>
    </row>
    <row r="170" spans="1:11">
      <c r="A170" s="1" t="str">
        <f t="shared" si="9"/>
        <v/>
      </c>
      <c r="B170" s="1" t="str">
        <f t="shared" si="10"/>
        <v/>
      </c>
      <c r="C170" s="1" t="str">
        <f t="shared" si="11"/>
        <v/>
      </c>
      <c r="D170" s="1" t="str">
        <f t="shared" si="12"/>
        <v/>
      </c>
      <c r="J170" s="13">
        <f t="shared" si="4"/>
        <v>0</v>
      </c>
      <c r="K170" s="1"/>
    </row>
    <row r="171" spans="1:11">
      <c r="A171" s="1" t="str">
        <f t="shared" si="9"/>
        <v/>
      </c>
      <c r="B171" s="1" t="str">
        <f t="shared" si="10"/>
        <v/>
      </c>
      <c r="C171" s="1" t="str">
        <f t="shared" si="11"/>
        <v/>
      </c>
      <c r="D171" s="1" t="str">
        <f t="shared" si="12"/>
        <v/>
      </c>
      <c r="J171" s="13">
        <f t="shared" si="4"/>
        <v>0</v>
      </c>
      <c r="K171" s="1"/>
    </row>
    <row r="172" spans="1:11">
      <c r="A172" s="1" t="str">
        <f t="shared" si="9"/>
        <v/>
      </c>
      <c r="B172" s="1" t="str">
        <f t="shared" si="10"/>
        <v/>
      </c>
      <c r="C172" s="1" t="str">
        <f t="shared" si="11"/>
        <v/>
      </c>
      <c r="D172" s="1" t="str">
        <f t="shared" si="12"/>
        <v/>
      </c>
      <c r="J172" s="13">
        <f t="shared" si="4"/>
        <v>0</v>
      </c>
      <c r="K172" s="1"/>
    </row>
    <row r="173" spans="1:11">
      <c r="A173" s="1" t="str">
        <f t="shared" si="9"/>
        <v/>
      </c>
      <c r="B173" s="1" t="str">
        <f t="shared" si="10"/>
        <v/>
      </c>
      <c r="C173" s="1" t="str">
        <f t="shared" si="11"/>
        <v/>
      </c>
      <c r="D173" s="1" t="str">
        <f t="shared" si="12"/>
        <v/>
      </c>
      <c r="J173" s="13">
        <f t="shared" si="4"/>
        <v>0</v>
      </c>
      <c r="K173" s="1"/>
    </row>
    <row r="174" spans="1:11">
      <c r="A174" s="1" t="str">
        <f t="shared" si="9"/>
        <v/>
      </c>
      <c r="B174" s="1" t="str">
        <f t="shared" si="10"/>
        <v/>
      </c>
      <c r="C174" s="1" t="str">
        <f t="shared" si="11"/>
        <v/>
      </c>
      <c r="D174" s="1" t="str">
        <f t="shared" si="12"/>
        <v/>
      </c>
      <c r="J174" s="13">
        <f t="shared" si="4"/>
        <v>0</v>
      </c>
      <c r="K174" s="1"/>
    </row>
    <row r="175" spans="1:11">
      <c r="A175" s="1" t="str">
        <f t="shared" si="9"/>
        <v/>
      </c>
      <c r="B175" s="1" t="str">
        <f t="shared" si="10"/>
        <v/>
      </c>
      <c r="C175" s="1" t="str">
        <f t="shared" si="11"/>
        <v/>
      </c>
      <c r="D175" s="1" t="str">
        <f t="shared" si="12"/>
        <v/>
      </c>
      <c r="J175" s="13">
        <f t="shared" si="4"/>
        <v>0</v>
      </c>
      <c r="K175" s="1"/>
    </row>
    <row r="176" spans="1:11">
      <c r="A176" s="1" t="str">
        <f t="shared" si="9"/>
        <v/>
      </c>
      <c r="B176" s="1" t="str">
        <f t="shared" si="10"/>
        <v/>
      </c>
      <c r="C176" s="1" t="str">
        <f t="shared" si="11"/>
        <v/>
      </c>
      <c r="D176" s="1" t="str">
        <f t="shared" si="12"/>
        <v/>
      </c>
      <c r="J176" s="13">
        <f t="shared" si="4"/>
        <v>0</v>
      </c>
      <c r="K176" s="1"/>
    </row>
    <row r="177" spans="1:11">
      <c r="A177" s="1" t="str">
        <f t="shared" si="9"/>
        <v/>
      </c>
      <c r="B177" s="1" t="str">
        <f t="shared" si="10"/>
        <v/>
      </c>
      <c r="C177" s="1" t="str">
        <f t="shared" si="11"/>
        <v/>
      </c>
      <c r="D177" s="1" t="str">
        <f t="shared" si="12"/>
        <v/>
      </c>
      <c r="J177" s="13">
        <f t="shared" si="4"/>
        <v>0</v>
      </c>
      <c r="K177" s="1"/>
    </row>
    <row r="178" spans="1:11">
      <c r="A178" s="1" t="str">
        <f t="shared" si="9"/>
        <v/>
      </c>
      <c r="B178" s="1" t="str">
        <f t="shared" si="10"/>
        <v/>
      </c>
      <c r="C178" s="1" t="str">
        <f t="shared" si="11"/>
        <v/>
      </c>
      <c r="D178" s="1" t="str">
        <f t="shared" si="12"/>
        <v/>
      </c>
      <c r="J178" s="13">
        <f t="shared" si="4"/>
        <v>0</v>
      </c>
      <c r="K178" s="1"/>
    </row>
    <row r="179" spans="1:11">
      <c r="A179" s="1" t="str">
        <f t="shared" si="9"/>
        <v/>
      </c>
      <c r="B179" s="1" t="str">
        <f t="shared" si="10"/>
        <v/>
      </c>
      <c r="C179" s="1" t="str">
        <f t="shared" si="11"/>
        <v/>
      </c>
      <c r="D179" s="1" t="str">
        <f t="shared" si="12"/>
        <v/>
      </c>
      <c r="J179" s="13">
        <f t="shared" si="4"/>
        <v>0</v>
      </c>
      <c r="K179" s="1"/>
    </row>
    <row r="180" spans="1:11">
      <c r="A180" s="1" t="str">
        <f t="shared" si="9"/>
        <v/>
      </c>
      <c r="B180" s="1" t="str">
        <f t="shared" si="10"/>
        <v/>
      </c>
      <c r="C180" s="1" t="str">
        <f t="shared" si="11"/>
        <v/>
      </c>
      <c r="D180" s="1" t="str">
        <f t="shared" si="12"/>
        <v/>
      </c>
      <c r="J180" s="13">
        <f t="shared" si="4"/>
        <v>0</v>
      </c>
      <c r="K180" s="1"/>
    </row>
    <row r="181" spans="1:11">
      <c r="A181" s="1" t="str">
        <f t="shared" si="9"/>
        <v/>
      </c>
      <c r="B181" s="1" t="str">
        <f t="shared" si="10"/>
        <v/>
      </c>
      <c r="C181" s="1" t="str">
        <f t="shared" si="11"/>
        <v/>
      </c>
      <c r="D181" s="1" t="str">
        <f t="shared" si="12"/>
        <v/>
      </c>
      <c r="J181" s="13">
        <f t="shared" si="4"/>
        <v>0</v>
      </c>
      <c r="K181" s="1"/>
    </row>
    <row r="182" spans="1:11">
      <c r="A182" s="1" t="str">
        <f t="shared" si="9"/>
        <v/>
      </c>
      <c r="B182" s="1" t="str">
        <f t="shared" si="10"/>
        <v/>
      </c>
      <c r="C182" s="1" t="str">
        <f t="shared" si="11"/>
        <v/>
      </c>
      <c r="D182" s="1" t="str">
        <f t="shared" si="12"/>
        <v/>
      </c>
      <c r="J182" s="13">
        <f t="shared" si="4"/>
        <v>0</v>
      </c>
      <c r="K182" s="1"/>
    </row>
    <row r="183" spans="1:11">
      <c r="A183" s="1" t="str">
        <f t="shared" si="9"/>
        <v/>
      </c>
      <c r="B183" s="1" t="str">
        <f t="shared" si="10"/>
        <v/>
      </c>
      <c r="C183" s="1" t="str">
        <f t="shared" si="11"/>
        <v/>
      </c>
      <c r="D183" s="1" t="str">
        <f t="shared" si="12"/>
        <v/>
      </c>
      <c r="J183" s="13">
        <f t="shared" si="4"/>
        <v>0</v>
      </c>
      <c r="K183" s="1"/>
    </row>
    <row r="184" spans="1:11">
      <c r="A184" s="1" t="str">
        <f t="shared" si="9"/>
        <v/>
      </c>
      <c r="B184" s="1" t="str">
        <f t="shared" si="10"/>
        <v/>
      </c>
      <c r="C184" s="1" t="str">
        <f t="shared" si="11"/>
        <v/>
      </c>
      <c r="D184" s="1" t="str">
        <f t="shared" si="12"/>
        <v/>
      </c>
      <c r="J184" s="13">
        <f t="shared" si="4"/>
        <v>0</v>
      </c>
      <c r="K184" s="1"/>
    </row>
    <row r="185" spans="1:11">
      <c r="A185" s="1" t="str">
        <f t="shared" si="9"/>
        <v/>
      </c>
      <c r="B185" s="1" t="str">
        <f t="shared" si="10"/>
        <v/>
      </c>
      <c r="C185" s="1" t="str">
        <f t="shared" si="11"/>
        <v/>
      </c>
      <c r="D185" s="1" t="str">
        <f t="shared" si="12"/>
        <v/>
      </c>
      <c r="J185" s="13">
        <f t="shared" si="4"/>
        <v>0</v>
      </c>
      <c r="K185" s="1"/>
    </row>
    <row r="186" spans="1:11">
      <c r="A186" s="1" t="str">
        <f t="shared" si="9"/>
        <v/>
      </c>
      <c r="B186" s="1" t="str">
        <f t="shared" si="10"/>
        <v/>
      </c>
      <c r="C186" s="1" t="str">
        <f t="shared" si="11"/>
        <v/>
      </c>
      <c r="D186" s="1" t="str">
        <f t="shared" si="12"/>
        <v/>
      </c>
      <c r="J186" s="13">
        <f t="shared" si="4"/>
        <v>0</v>
      </c>
      <c r="K186" s="1"/>
    </row>
    <row r="187" spans="1:11">
      <c r="A187" s="1" t="str">
        <f t="shared" si="9"/>
        <v/>
      </c>
      <c r="B187" s="1" t="str">
        <f t="shared" si="10"/>
        <v/>
      </c>
      <c r="C187" s="1" t="str">
        <f t="shared" si="11"/>
        <v/>
      </c>
      <c r="D187" s="1" t="str">
        <f t="shared" si="12"/>
        <v/>
      </c>
      <c r="J187" s="13">
        <f t="shared" si="4"/>
        <v>0</v>
      </c>
      <c r="K187" s="1"/>
    </row>
    <row r="188" spans="1:11">
      <c r="A188" s="1" t="str">
        <f t="shared" si="9"/>
        <v/>
      </c>
      <c r="B188" s="1" t="str">
        <f t="shared" si="10"/>
        <v/>
      </c>
      <c r="C188" s="1" t="str">
        <f t="shared" si="11"/>
        <v/>
      </c>
      <c r="D188" s="1" t="str">
        <f t="shared" si="12"/>
        <v/>
      </c>
      <c r="J188" s="13">
        <f t="shared" si="4"/>
        <v>0</v>
      </c>
      <c r="K188" s="1"/>
    </row>
    <row r="189" spans="1:11">
      <c r="A189" s="1" t="str">
        <f t="shared" si="9"/>
        <v/>
      </c>
      <c r="B189" s="1" t="str">
        <f t="shared" si="10"/>
        <v/>
      </c>
      <c r="C189" s="1" t="str">
        <f t="shared" si="11"/>
        <v/>
      </c>
      <c r="D189" s="1" t="str">
        <f t="shared" si="12"/>
        <v/>
      </c>
      <c r="J189" s="13">
        <f t="shared" si="4"/>
        <v>0</v>
      </c>
      <c r="K189" s="1"/>
    </row>
    <row r="190" spans="1:11">
      <c r="A190" s="1" t="str">
        <f t="shared" si="9"/>
        <v/>
      </c>
      <c r="B190" s="1" t="str">
        <f t="shared" si="10"/>
        <v/>
      </c>
      <c r="C190" s="1" t="str">
        <f t="shared" si="11"/>
        <v/>
      </c>
      <c r="D190" s="1" t="str">
        <f t="shared" si="12"/>
        <v/>
      </c>
      <c r="J190" s="13">
        <f t="shared" si="4"/>
        <v>0</v>
      </c>
      <c r="K190" s="1"/>
    </row>
    <row r="191" spans="1:11">
      <c r="A191" s="1" t="str">
        <f t="shared" si="9"/>
        <v/>
      </c>
      <c r="B191" s="1" t="str">
        <f t="shared" si="10"/>
        <v/>
      </c>
      <c r="C191" s="1" t="str">
        <f t="shared" si="11"/>
        <v/>
      </c>
      <c r="D191" s="1" t="str">
        <f t="shared" si="12"/>
        <v/>
      </c>
      <c r="J191" s="13">
        <f t="shared" si="4"/>
        <v>0</v>
      </c>
      <c r="K191" s="1"/>
    </row>
    <row r="192" spans="1:11">
      <c r="A192" s="1" t="str">
        <f t="shared" si="9"/>
        <v/>
      </c>
      <c r="B192" s="1" t="str">
        <f t="shared" si="10"/>
        <v/>
      </c>
      <c r="C192" s="1" t="str">
        <f t="shared" si="11"/>
        <v/>
      </c>
      <c r="D192" s="1" t="str">
        <f t="shared" si="12"/>
        <v/>
      </c>
      <c r="J192" s="13">
        <f t="shared" si="4"/>
        <v>0</v>
      </c>
      <c r="K192" s="1"/>
    </row>
    <row r="193" spans="1:11">
      <c r="A193" s="1" t="str">
        <f t="shared" si="9"/>
        <v/>
      </c>
      <c r="B193" s="1" t="str">
        <f t="shared" si="10"/>
        <v/>
      </c>
      <c r="C193" s="1" t="str">
        <f t="shared" si="11"/>
        <v/>
      </c>
      <c r="D193" s="1" t="str">
        <f t="shared" si="12"/>
        <v/>
      </c>
      <c r="J193" s="13">
        <f t="shared" si="4"/>
        <v>0</v>
      </c>
      <c r="K193" s="1"/>
    </row>
    <row r="194" spans="1:11">
      <c r="A194" s="1" t="str">
        <f t="shared" si="9"/>
        <v/>
      </c>
      <c r="B194" s="1" t="str">
        <f t="shared" si="10"/>
        <v/>
      </c>
      <c r="C194" s="1" t="str">
        <f t="shared" si="11"/>
        <v/>
      </c>
      <c r="D194" s="1" t="str">
        <f t="shared" si="12"/>
        <v/>
      </c>
      <c r="J194" s="13">
        <f t="shared" si="4"/>
        <v>0</v>
      </c>
      <c r="K194" s="1"/>
    </row>
    <row r="195" spans="1:11">
      <c r="A195" s="1" t="str">
        <f t="shared" si="9"/>
        <v/>
      </c>
      <c r="B195" s="1" t="str">
        <f t="shared" si="10"/>
        <v/>
      </c>
      <c r="C195" s="1" t="str">
        <f t="shared" si="11"/>
        <v/>
      </c>
      <c r="D195" s="1" t="str">
        <f t="shared" si="12"/>
        <v/>
      </c>
      <c r="J195" s="13">
        <f t="shared" si="4"/>
        <v>0</v>
      </c>
      <c r="K195" s="1"/>
    </row>
    <row r="196" spans="1:11">
      <c r="A196" s="1" t="str">
        <f t="shared" si="9"/>
        <v/>
      </c>
      <c r="B196" s="1" t="str">
        <f t="shared" si="10"/>
        <v/>
      </c>
      <c r="C196" s="1" t="str">
        <f t="shared" si="11"/>
        <v/>
      </c>
      <c r="D196" s="1" t="str">
        <f t="shared" si="12"/>
        <v/>
      </c>
      <c r="J196" s="13">
        <f t="shared" si="4"/>
        <v>0</v>
      </c>
      <c r="K196" s="1"/>
    </row>
    <row r="197" spans="1:11">
      <c r="A197" s="1" t="str">
        <f t="shared" si="9"/>
        <v/>
      </c>
      <c r="B197" s="1" t="str">
        <f t="shared" si="10"/>
        <v/>
      </c>
      <c r="C197" s="1" t="str">
        <f t="shared" si="11"/>
        <v/>
      </c>
      <c r="D197" s="1" t="str">
        <f t="shared" si="12"/>
        <v/>
      </c>
      <c r="J197" s="13">
        <f t="shared" si="4"/>
        <v>0</v>
      </c>
      <c r="K197" s="1"/>
    </row>
    <row r="198" spans="1:11">
      <c r="A198" s="1" t="str">
        <f t="shared" si="9"/>
        <v/>
      </c>
      <c r="B198" s="1" t="str">
        <f t="shared" si="10"/>
        <v/>
      </c>
      <c r="C198" s="1" t="str">
        <f t="shared" si="11"/>
        <v/>
      </c>
      <c r="D198" s="1" t="str">
        <f t="shared" si="12"/>
        <v/>
      </c>
      <c r="J198" s="13">
        <f t="shared" si="4"/>
        <v>0</v>
      </c>
      <c r="K198" s="1"/>
    </row>
    <row r="199" spans="1:11">
      <c r="A199" s="1" t="str">
        <f t="shared" si="9"/>
        <v/>
      </c>
      <c r="B199" s="1" t="str">
        <f t="shared" si="10"/>
        <v/>
      </c>
      <c r="C199" s="1" t="str">
        <f t="shared" si="11"/>
        <v/>
      </c>
      <c r="D199" s="1" t="str">
        <f t="shared" si="12"/>
        <v/>
      </c>
      <c r="J199" s="13">
        <f t="shared" si="4"/>
        <v>0</v>
      </c>
      <c r="K199" s="1"/>
    </row>
    <row r="200" spans="1:11">
      <c r="A200" s="1" t="str">
        <f t="shared" si="9"/>
        <v/>
      </c>
      <c r="B200" s="1" t="str">
        <f t="shared" si="10"/>
        <v/>
      </c>
      <c r="C200" s="1" t="str">
        <f t="shared" si="11"/>
        <v/>
      </c>
      <c r="D200" s="1" t="str">
        <f t="shared" si="12"/>
        <v/>
      </c>
      <c r="J200" s="13">
        <f t="shared" si="4"/>
        <v>0</v>
      </c>
      <c r="K200" s="1"/>
    </row>
    <row r="201" spans="1:11">
      <c r="A201" s="1" t="str">
        <f t="shared" si="9"/>
        <v/>
      </c>
      <c r="B201" s="1" t="str">
        <f t="shared" si="10"/>
        <v/>
      </c>
      <c r="C201" s="1" t="str">
        <f t="shared" si="11"/>
        <v/>
      </c>
      <c r="D201" s="1" t="str">
        <f t="shared" si="12"/>
        <v/>
      </c>
      <c r="J201" s="13">
        <f t="shared" si="4"/>
        <v>0</v>
      </c>
      <c r="K201" s="1"/>
    </row>
    <row r="202" spans="1:11">
      <c r="A202" s="1" t="str">
        <f t="shared" si="9"/>
        <v/>
      </c>
      <c r="B202" s="1" t="str">
        <f t="shared" si="10"/>
        <v/>
      </c>
      <c r="C202" s="1" t="str">
        <f t="shared" si="11"/>
        <v/>
      </c>
      <c r="D202" s="1" t="str">
        <f t="shared" si="12"/>
        <v/>
      </c>
      <c r="J202" s="13">
        <f t="shared" si="4"/>
        <v>0</v>
      </c>
      <c r="K202" s="1"/>
    </row>
    <row r="203" spans="1:11">
      <c r="A203" s="1" t="str">
        <f t="shared" si="9"/>
        <v/>
      </c>
      <c r="B203" s="1" t="str">
        <f t="shared" si="10"/>
        <v/>
      </c>
      <c r="C203" s="1" t="str">
        <f t="shared" si="11"/>
        <v/>
      </c>
      <c r="D203" s="1" t="str">
        <f t="shared" si="12"/>
        <v/>
      </c>
      <c r="J203" s="13">
        <f t="shared" si="4"/>
        <v>0</v>
      </c>
      <c r="K203" s="1"/>
    </row>
    <row r="204" spans="1:11">
      <c r="A204" s="1" t="str">
        <f t="shared" si="9"/>
        <v/>
      </c>
      <c r="B204" s="1" t="str">
        <f t="shared" si="10"/>
        <v/>
      </c>
      <c r="C204" s="1" t="str">
        <f t="shared" si="11"/>
        <v/>
      </c>
      <c r="D204" s="1" t="str">
        <f t="shared" si="12"/>
        <v/>
      </c>
      <c r="J204" s="13">
        <f t="shared" si="4"/>
        <v>0</v>
      </c>
      <c r="K204" s="1"/>
    </row>
    <row r="205" spans="1:11">
      <c r="A205" s="1" t="str">
        <f t="shared" si="9"/>
        <v/>
      </c>
      <c r="B205" s="1" t="str">
        <f t="shared" si="10"/>
        <v/>
      </c>
      <c r="C205" s="1" t="str">
        <f t="shared" si="11"/>
        <v/>
      </c>
      <c r="D205" s="1" t="str">
        <f t="shared" si="12"/>
        <v/>
      </c>
      <c r="J205" s="13">
        <f t="shared" si="4"/>
        <v>0</v>
      </c>
      <c r="K205" s="1"/>
    </row>
    <row r="206" spans="1:11">
      <c r="A206" s="1" t="str">
        <f t="shared" si="9"/>
        <v/>
      </c>
      <c r="B206" s="1" t="str">
        <f t="shared" si="10"/>
        <v/>
      </c>
      <c r="C206" s="1" t="str">
        <f t="shared" si="11"/>
        <v/>
      </c>
      <c r="D206" s="1" t="str">
        <f t="shared" si="12"/>
        <v/>
      </c>
      <c r="J206" s="13">
        <f t="shared" si="4"/>
        <v>0</v>
      </c>
      <c r="K206" s="1"/>
    </row>
    <row r="207" spans="1:11">
      <c r="A207" s="1" t="str">
        <f t="shared" si="9"/>
        <v/>
      </c>
      <c r="B207" s="1" t="str">
        <f t="shared" si="10"/>
        <v/>
      </c>
      <c r="C207" s="1" t="str">
        <f t="shared" si="11"/>
        <v/>
      </c>
      <c r="D207" s="1" t="str">
        <f t="shared" si="12"/>
        <v/>
      </c>
      <c r="J207" s="13">
        <f t="shared" si="4"/>
        <v>0</v>
      </c>
      <c r="K207" s="1"/>
    </row>
    <row r="208" spans="1:11">
      <c r="A208" s="1" t="str">
        <f t="shared" si="9"/>
        <v/>
      </c>
      <c r="B208" s="1" t="str">
        <f t="shared" si="10"/>
        <v/>
      </c>
      <c r="C208" s="1" t="str">
        <f t="shared" si="11"/>
        <v/>
      </c>
      <c r="D208" s="1" t="str">
        <f t="shared" si="12"/>
        <v/>
      </c>
      <c r="J208" s="13">
        <f t="shared" si="4"/>
        <v>0</v>
      </c>
      <c r="K208" s="1"/>
    </row>
    <row r="209" spans="1:11">
      <c r="A209" s="1" t="str">
        <f t="shared" si="9"/>
        <v/>
      </c>
      <c r="B209" s="1" t="str">
        <f t="shared" si="10"/>
        <v/>
      </c>
      <c r="C209" s="1" t="str">
        <f t="shared" si="11"/>
        <v/>
      </c>
      <c r="D209" s="1" t="str">
        <f t="shared" si="12"/>
        <v/>
      </c>
      <c r="J209" s="13">
        <f t="shared" si="4"/>
        <v>0</v>
      </c>
      <c r="K209" s="1"/>
    </row>
    <row r="210" spans="1:11">
      <c r="A210" s="1" t="str">
        <f t="shared" si="9"/>
        <v/>
      </c>
      <c r="B210" s="1" t="str">
        <f t="shared" si="10"/>
        <v/>
      </c>
      <c r="C210" s="1" t="str">
        <f t="shared" si="11"/>
        <v/>
      </c>
      <c r="D210" s="1" t="str">
        <f t="shared" si="12"/>
        <v/>
      </c>
      <c r="J210" s="13">
        <f t="shared" si="4"/>
        <v>0</v>
      </c>
      <c r="K210" s="1"/>
    </row>
    <row r="211" spans="1:11">
      <c r="A211" s="1" t="str">
        <f t="shared" si="9"/>
        <v/>
      </c>
      <c r="B211" s="1" t="str">
        <f t="shared" si="10"/>
        <v/>
      </c>
      <c r="C211" s="1" t="str">
        <f t="shared" si="11"/>
        <v/>
      </c>
      <c r="D211" s="1" t="str">
        <f t="shared" si="12"/>
        <v/>
      </c>
      <c r="J211" s="13">
        <f t="shared" si="4"/>
        <v>0</v>
      </c>
      <c r="K211" s="1"/>
    </row>
    <row r="212" spans="1:11">
      <c r="A212" s="1" t="str">
        <f t="shared" si="9"/>
        <v/>
      </c>
      <c r="B212" s="1" t="str">
        <f t="shared" si="10"/>
        <v/>
      </c>
      <c r="C212" s="1" t="str">
        <f t="shared" si="11"/>
        <v/>
      </c>
      <c r="D212" s="1" t="str">
        <f t="shared" si="12"/>
        <v/>
      </c>
      <c r="J212" s="13">
        <f t="shared" si="4"/>
        <v>0</v>
      </c>
      <c r="K212" s="1"/>
    </row>
    <row r="213" spans="1:11">
      <c r="A213" s="1" t="str">
        <f t="shared" si="9"/>
        <v/>
      </c>
      <c r="B213" s="1" t="str">
        <f t="shared" si="10"/>
        <v/>
      </c>
      <c r="C213" s="1" t="str">
        <f t="shared" si="11"/>
        <v/>
      </c>
      <c r="D213" s="1" t="str">
        <f t="shared" si="12"/>
        <v/>
      </c>
      <c r="J213" s="13">
        <f t="shared" si="4"/>
        <v>0</v>
      </c>
      <c r="K213" s="1"/>
    </row>
    <row r="214" spans="1:11">
      <c r="A214" s="1" t="str">
        <f t="shared" si="9"/>
        <v/>
      </c>
      <c r="B214" s="1" t="str">
        <f t="shared" si="10"/>
        <v/>
      </c>
      <c r="C214" s="1" t="str">
        <f t="shared" si="11"/>
        <v/>
      </c>
      <c r="D214" s="1" t="str">
        <f t="shared" si="12"/>
        <v/>
      </c>
      <c r="J214" s="13">
        <f t="shared" si="4"/>
        <v>0</v>
      </c>
      <c r="K214" s="1"/>
    </row>
    <row r="215" spans="1:11">
      <c r="A215" s="1" t="str">
        <f t="shared" si="9"/>
        <v/>
      </c>
      <c r="B215" s="1" t="str">
        <f t="shared" si="10"/>
        <v/>
      </c>
      <c r="C215" s="1" t="str">
        <f t="shared" si="11"/>
        <v/>
      </c>
      <c r="D215" s="1" t="str">
        <f t="shared" si="12"/>
        <v/>
      </c>
      <c r="K215" s="1"/>
    </row>
    <row r="216" spans="1:11">
      <c r="A216" s="1" t="str">
        <f t="shared" si="9"/>
        <v/>
      </c>
      <c r="B216" s="1" t="str">
        <f t="shared" si="10"/>
        <v/>
      </c>
      <c r="C216" s="1" t="str">
        <f t="shared" si="11"/>
        <v/>
      </c>
      <c r="D216" s="1" t="str">
        <f t="shared" si="12"/>
        <v/>
      </c>
      <c r="K216" s="1"/>
    </row>
    <row r="217" spans="1:11">
      <c r="A217" s="1" t="str">
        <f t="shared" si="9"/>
        <v/>
      </c>
      <c r="B217" s="1" t="str">
        <f t="shared" si="10"/>
        <v/>
      </c>
      <c r="C217" s="1" t="str">
        <f t="shared" si="11"/>
        <v/>
      </c>
      <c r="D217" s="1" t="str">
        <f t="shared" si="12"/>
        <v/>
      </c>
      <c r="K217" s="1"/>
    </row>
    <row r="218" spans="1:11">
      <c r="A218" s="1" t="str">
        <f t="shared" si="9"/>
        <v/>
      </c>
      <c r="B218" s="1" t="str">
        <f t="shared" si="10"/>
        <v/>
      </c>
      <c r="C218" s="1" t="str">
        <f t="shared" si="11"/>
        <v/>
      </c>
      <c r="D218" s="1" t="str">
        <f t="shared" si="12"/>
        <v/>
      </c>
      <c r="K218" s="1"/>
    </row>
    <row r="219" spans="1:11">
      <c r="A219" s="1" t="str">
        <f t="shared" si="9"/>
        <v/>
      </c>
      <c r="B219" s="1" t="str">
        <f t="shared" si="10"/>
        <v/>
      </c>
      <c r="C219" s="1" t="str">
        <f t="shared" si="11"/>
        <v/>
      </c>
      <c r="D219" s="1" t="str">
        <f t="shared" si="12"/>
        <v/>
      </c>
      <c r="K219" s="1"/>
    </row>
    <row r="220" spans="1:11">
      <c r="A220" s="1" t="str">
        <f t="shared" si="9"/>
        <v/>
      </c>
      <c r="B220" s="1" t="str">
        <f t="shared" si="10"/>
        <v/>
      </c>
      <c r="C220" s="1" t="str">
        <f t="shared" si="11"/>
        <v/>
      </c>
      <c r="D220" s="1" t="str">
        <f t="shared" si="12"/>
        <v/>
      </c>
      <c r="K220" s="1"/>
    </row>
    <row r="221" spans="1:11">
      <c r="A221" s="1" t="str">
        <f t="shared" si="9"/>
        <v/>
      </c>
      <c r="B221" s="1" t="str">
        <f t="shared" si="10"/>
        <v/>
      </c>
      <c r="C221" s="1" t="str">
        <f t="shared" si="11"/>
        <v/>
      </c>
      <c r="D221" s="1" t="str">
        <f t="shared" si="12"/>
        <v/>
      </c>
      <c r="K221" s="1"/>
    </row>
    <row r="222" spans="1:11">
      <c r="A222" s="1" t="str">
        <f t="shared" si="9"/>
        <v/>
      </c>
      <c r="B222" s="1" t="str">
        <f t="shared" si="10"/>
        <v/>
      </c>
      <c r="C222" s="1" t="str">
        <f t="shared" si="11"/>
        <v/>
      </c>
      <c r="D222" s="1" t="str">
        <f t="shared" si="12"/>
        <v/>
      </c>
      <c r="K222" s="1"/>
    </row>
    <row r="223" spans="1:11">
      <c r="A223" s="1" t="str">
        <f t="shared" si="9"/>
        <v/>
      </c>
      <c r="B223" s="1" t="str">
        <f t="shared" si="10"/>
        <v/>
      </c>
      <c r="C223" s="1" t="str">
        <f t="shared" si="11"/>
        <v/>
      </c>
      <c r="D223" s="1" t="str">
        <f t="shared" si="12"/>
        <v/>
      </c>
      <c r="K223" s="1"/>
    </row>
    <row r="224" spans="1:11">
      <c r="A224" s="1" t="str">
        <f t="shared" si="9"/>
        <v/>
      </c>
      <c r="B224" s="1" t="str">
        <f t="shared" si="10"/>
        <v/>
      </c>
      <c r="C224" s="1" t="str">
        <f t="shared" si="11"/>
        <v/>
      </c>
      <c r="D224" s="1" t="str">
        <f t="shared" si="12"/>
        <v/>
      </c>
      <c r="K224" s="1"/>
    </row>
    <row r="225" spans="1:11">
      <c r="A225" s="1" t="str">
        <f t="shared" si="9"/>
        <v/>
      </c>
      <c r="B225" s="1" t="str">
        <f t="shared" si="10"/>
        <v/>
      </c>
      <c r="C225" s="1" t="str">
        <f t="shared" si="11"/>
        <v/>
      </c>
      <c r="D225" s="1" t="str">
        <f t="shared" si="12"/>
        <v/>
      </c>
      <c r="K225" s="1"/>
    </row>
    <row r="226" spans="1:11">
      <c r="A226" s="1" t="str">
        <f t="shared" si="9"/>
        <v/>
      </c>
      <c r="B226" s="1" t="str">
        <f t="shared" si="10"/>
        <v/>
      </c>
      <c r="C226" s="1" t="str">
        <f t="shared" si="11"/>
        <v/>
      </c>
      <c r="D226" s="1" t="str">
        <f t="shared" si="12"/>
        <v/>
      </c>
      <c r="K226" s="1"/>
    </row>
    <row r="227" spans="1:11">
      <c r="A227" s="1" t="str">
        <f t="shared" si="9"/>
        <v/>
      </c>
      <c r="B227" s="1" t="str">
        <f t="shared" si="10"/>
        <v/>
      </c>
      <c r="C227" s="1" t="str">
        <f t="shared" si="11"/>
        <v/>
      </c>
      <c r="D227" s="1" t="str">
        <f t="shared" si="12"/>
        <v/>
      </c>
      <c r="K227" s="1"/>
    </row>
    <row r="228" spans="1:11">
      <c r="A228" s="1" t="str">
        <f t="shared" si="9"/>
        <v/>
      </c>
      <c r="B228" s="1" t="str">
        <f t="shared" si="10"/>
        <v/>
      </c>
      <c r="C228" s="1" t="str">
        <f t="shared" si="11"/>
        <v/>
      </c>
      <c r="D228" s="1" t="str">
        <f t="shared" si="12"/>
        <v/>
      </c>
      <c r="K228" s="1"/>
    </row>
    <row r="229" spans="1:11">
      <c r="A229" s="1" t="str">
        <f t="shared" si="9"/>
        <v/>
      </c>
      <c r="B229" s="1" t="str">
        <f t="shared" si="10"/>
        <v/>
      </c>
      <c r="C229" s="1" t="str">
        <f t="shared" si="11"/>
        <v/>
      </c>
      <c r="D229" s="1" t="str">
        <f t="shared" si="12"/>
        <v/>
      </c>
      <c r="K229" s="1"/>
    </row>
    <row r="230" spans="1:11">
      <c r="A230" s="1" t="str">
        <f t="shared" si="9"/>
        <v/>
      </c>
      <c r="B230" s="1" t="str">
        <f t="shared" si="10"/>
        <v/>
      </c>
      <c r="C230" s="1" t="str">
        <f t="shared" si="11"/>
        <v/>
      </c>
      <c r="D230" s="1" t="str">
        <f t="shared" si="12"/>
        <v/>
      </c>
      <c r="K230" s="1"/>
    </row>
    <row r="231" spans="1:11">
      <c r="A231" s="1" t="str">
        <f t="shared" si="9"/>
        <v/>
      </c>
      <c r="B231" s="1" t="str">
        <f t="shared" si="10"/>
        <v/>
      </c>
      <c r="C231" s="1" t="str">
        <f t="shared" si="11"/>
        <v/>
      </c>
      <c r="D231" s="1" t="str">
        <f t="shared" si="12"/>
        <v/>
      </c>
      <c r="K231" s="1"/>
    </row>
    <row r="232" spans="1:11">
      <c r="A232" s="1" t="str">
        <f t="shared" si="9"/>
        <v/>
      </c>
      <c r="B232" s="1" t="str">
        <f t="shared" si="10"/>
        <v/>
      </c>
      <c r="C232" s="1" t="str">
        <f t="shared" si="11"/>
        <v/>
      </c>
      <c r="D232" s="1" t="str">
        <f t="shared" si="12"/>
        <v/>
      </c>
      <c r="K232" s="1"/>
    </row>
    <row r="233" spans="1:11">
      <c r="A233" s="1" t="str">
        <f t="shared" si="9"/>
        <v/>
      </c>
      <c r="B233" s="1" t="str">
        <f t="shared" si="10"/>
        <v/>
      </c>
      <c r="C233" s="1" t="str">
        <f t="shared" si="11"/>
        <v/>
      </c>
      <c r="D233" s="1" t="str">
        <f t="shared" si="12"/>
        <v/>
      </c>
      <c r="K233" s="1"/>
    </row>
    <row r="234" spans="1:11">
      <c r="A234" s="1" t="str">
        <f t="shared" si="9"/>
        <v/>
      </c>
      <c r="B234" s="1" t="str">
        <f t="shared" si="10"/>
        <v/>
      </c>
      <c r="C234" s="1" t="str">
        <f t="shared" si="11"/>
        <v/>
      </c>
      <c r="D234" s="1" t="str">
        <f t="shared" si="12"/>
        <v/>
      </c>
      <c r="K234" s="1"/>
    </row>
    <row r="235" spans="1:11">
      <c r="A235" s="1" t="str">
        <f t="shared" si="9"/>
        <v/>
      </c>
      <c r="B235" s="1" t="str">
        <f t="shared" si="10"/>
        <v/>
      </c>
      <c r="C235" s="1" t="str">
        <f t="shared" si="11"/>
        <v/>
      </c>
      <c r="D235" s="1" t="str">
        <f t="shared" si="12"/>
        <v/>
      </c>
      <c r="K235" s="1"/>
    </row>
    <row r="236" spans="1:11">
      <c r="A236" s="1" t="str">
        <f t="shared" si="9"/>
        <v/>
      </c>
      <c r="B236" s="1" t="str">
        <f t="shared" si="10"/>
        <v/>
      </c>
      <c r="C236" s="1" t="str">
        <f t="shared" si="11"/>
        <v/>
      </c>
      <c r="D236" s="1" t="str">
        <f t="shared" si="12"/>
        <v/>
      </c>
      <c r="K236" s="1"/>
    </row>
    <row r="237" spans="1:11">
      <c r="A237" s="1" t="str">
        <f t="shared" si="9"/>
        <v/>
      </c>
      <c r="B237" s="1" t="str">
        <f t="shared" si="10"/>
        <v/>
      </c>
      <c r="C237" s="1" t="str">
        <f t="shared" si="11"/>
        <v/>
      </c>
      <c r="D237" s="1" t="str">
        <f t="shared" si="12"/>
        <v/>
      </c>
      <c r="K237" s="1"/>
    </row>
    <row r="238" spans="1:11">
      <c r="K238" s="1"/>
    </row>
    <row r="239" spans="1:11">
      <c r="K239" s="1"/>
    </row>
    <row r="240" spans="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  <row r="1009" spans="11:11">
      <c r="K1009" s="1"/>
    </row>
  </sheetData>
  <autoFilter ref="K1:K1012" xr:uid="{00000000-0009-0000-0000-000006000000}"/>
  <dataValidations count="1">
    <dataValidation type="list" allowBlank="1" showErrorMessage="1" sqref="K1:K159 K163:K1009" xr:uid="{00000000-0002-0000-0600-000000000000}">
      <formula1>"Assurances/Mutuelle,Bricolage/Travaux,Catégorie,Charges,Courses,Divers,Internet/Téléphone,Logement,Loisirs,Medical,Scolarité,Soins,Vêtements,Voiture/Déplacement,Cadeau,Epargne"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009"/>
  <sheetViews>
    <sheetView workbookViewId="0"/>
  </sheetViews>
  <sheetFormatPr defaultColWidth="12.6640625" defaultRowHeight="15.75" customHeight="1"/>
  <cols>
    <col min="1" max="1" width="22.88671875" customWidth="1"/>
    <col min="2" max="2" width="31.21875" customWidth="1"/>
    <col min="5" max="5" width="24.109375" customWidth="1"/>
    <col min="7" max="7" width="28.77734375" customWidth="1"/>
    <col min="9" max="9" width="17.44140625" customWidth="1"/>
    <col min="11" max="11" width="29.21875" customWidth="1"/>
  </cols>
  <sheetData>
    <row r="1" spans="1:29">
      <c r="A1" s="1"/>
      <c r="B1" s="1" t="s">
        <v>27</v>
      </c>
      <c r="C1" s="1"/>
      <c r="D1" s="1"/>
      <c r="E1" s="1" t="s">
        <v>28</v>
      </c>
      <c r="K1" s="1" t="s">
        <v>29</v>
      </c>
    </row>
    <row r="2" spans="1:29">
      <c r="K2" s="1"/>
    </row>
    <row r="3" spans="1:29">
      <c r="A3" s="1"/>
      <c r="B3" s="1" t="s">
        <v>30</v>
      </c>
      <c r="C3" s="1">
        <v>5273.11</v>
      </c>
      <c r="E3" s="1" t="s">
        <v>31</v>
      </c>
      <c r="F3" s="1">
        <v>669.7</v>
      </c>
      <c r="G3" s="1" t="s">
        <v>32</v>
      </c>
      <c r="H3" s="1">
        <f t="shared" ref="H3:H6" si="0">IF(G3="x",F3,0)</f>
        <v>669.7</v>
      </c>
      <c r="K3" s="1" t="s">
        <v>25</v>
      </c>
    </row>
    <row r="4" spans="1:29">
      <c r="A4" s="1"/>
      <c r="B4" s="1" t="s">
        <v>33</v>
      </c>
      <c r="C4" s="1">
        <v>1828.73</v>
      </c>
      <c r="E4" s="1" t="s">
        <v>34</v>
      </c>
      <c r="H4" s="1">
        <f t="shared" si="0"/>
        <v>0</v>
      </c>
      <c r="K4" s="1" t="s">
        <v>26</v>
      </c>
    </row>
    <row r="5" spans="1:29">
      <c r="A5" s="1"/>
      <c r="B5" s="1" t="s">
        <v>35</v>
      </c>
      <c r="C5" s="1">
        <v>114.19</v>
      </c>
      <c r="E5" s="1" t="s">
        <v>36</v>
      </c>
      <c r="F5" s="1">
        <v>70</v>
      </c>
      <c r="G5" s="1" t="s">
        <v>32</v>
      </c>
      <c r="H5" s="1">
        <f t="shared" si="0"/>
        <v>70</v>
      </c>
      <c r="K5" s="1" t="s">
        <v>26</v>
      </c>
    </row>
    <row r="6" spans="1:29">
      <c r="E6" s="11" t="s">
        <v>37</v>
      </c>
      <c r="F6" s="10">
        <v>14.99</v>
      </c>
      <c r="G6" s="11" t="s">
        <v>32</v>
      </c>
      <c r="H6" s="1">
        <f t="shared" si="0"/>
        <v>14.99</v>
      </c>
      <c r="K6" s="1" t="s">
        <v>26</v>
      </c>
    </row>
    <row r="7" spans="1:29">
      <c r="A7" s="11"/>
      <c r="D7" s="11"/>
      <c r="E7" s="1" t="s">
        <v>38</v>
      </c>
      <c r="F7" s="1">
        <v>995.15</v>
      </c>
      <c r="G7" s="11" t="s">
        <v>32</v>
      </c>
      <c r="H7" s="10">
        <f>IF(G7="x",F7,0)</f>
        <v>995.15</v>
      </c>
      <c r="I7" s="11"/>
      <c r="J7" s="11"/>
      <c r="K7" s="1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E8" s="1" t="s">
        <v>40</v>
      </c>
      <c r="F8" s="1">
        <v>883.42</v>
      </c>
      <c r="G8" s="1" t="s">
        <v>32</v>
      </c>
      <c r="H8" s="1">
        <f t="shared" ref="H8:H21" si="1">IF(G8="x",F8,0)</f>
        <v>883.42</v>
      </c>
      <c r="K8" s="1" t="s">
        <v>25</v>
      </c>
    </row>
    <row r="9" spans="1:29">
      <c r="B9" s="11" t="s">
        <v>51</v>
      </c>
      <c r="C9" s="11">
        <v>9.4499999999999993</v>
      </c>
      <c r="E9" s="1" t="s">
        <v>42</v>
      </c>
      <c r="F9" s="1">
        <v>11.46</v>
      </c>
      <c r="G9" s="1" t="s">
        <v>32</v>
      </c>
      <c r="H9" s="1">
        <f t="shared" si="1"/>
        <v>11.46</v>
      </c>
      <c r="K9" s="1" t="s">
        <v>25</v>
      </c>
    </row>
    <row r="10" spans="1:29">
      <c r="B10" s="1" t="s">
        <v>182</v>
      </c>
      <c r="C10" s="1">
        <v>76.64</v>
      </c>
      <c r="E10" s="1" t="s">
        <v>42</v>
      </c>
      <c r="F10" s="1">
        <v>32.57</v>
      </c>
      <c r="G10" s="1" t="s">
        <v>32</v>
      </c>
      <c r="H10" s="1">
        <f t="shared" si="1"/>
        <v>32.57</v>
      </c>
      <c r="K10" s="1" t="s">
        <v>25</v>
      </c>
    </row>
    <row r="11" spans="1:29">
      <c r="B11" s="1" t="s">
        <v>51</v>
      </c>
      <c r="C11" s="1">
        <v>9</v>
      </c>
      <c r="E11" s="1" t="s">
        <v>42</v>
      </c>
      <c r="F11" s="1">
        <v>79.98</v>
      </c>
      <c r="G11" s="1" t="s">
        <v>32</v>
      </c>
      <c r="H11" s="1">
        <f t="shared" si="1"/>
        <v>79.98</v>
      </c>
      <c r="K11" s="1" t="s">
        <v>25</v>
      </c>
    </row>
    <row r="12" spans="1:29">
      <c r="B12" s="1" t="s">
        <v>183</v>
      </c>
      <c r="C12" s="1">
        <v>43.34</v>
      </c>
      <c r="E12" s="1" t="s">
        <v>42</v>
      </c>
      <c r="F12" s="1">
        <v>28.49</v>
      </c>
      <c r="G12" s="1" t="s">
        <v>32</v>
      </c>
      <c r="H12" s="1">
        <f t="shared" si="1"/>
        <v>28.49</v>
      </c>
      <c r="K12" s="1" t="s">
        <v>25</v>
      </c>
    </row>
    <row r="13" spans="1:29">
      <c r="B13" s="1" t="s">
        <v>184</v>
      </c>
      <c r="C13" s="1">
        <v>4</v>
      </c>
      <c r="E13" s="1" t="s">
        <v>43</v>
      </c>
      <c r="F13" s="1">
        <v>6.99</v>
      </c>
      <c r="G13" s="1" t="s">
        <v>32</v>
      </c>
      <c r="H13" s="1">
        <f t="shared" si="1"/>
        <v>6.99</v>
      </c>
      <c r="K13" s="1" t="s">
        <v>44</v>
      </c>
    </row>
    <row r="14" spans="1:29">
      <c r="B14" s="1" t="s">
        <v>185</v>
      </c>
      <c r="C14" s="1">
        <v>4</v>
      </c>
      <c r="E14" s="1" t="s">
        <v>45</v>
      </c>
      <c r="F14" s="1">
        <v>65</v>
      </c>
      <c r="G14" s="1" t="s">
        <v>32</v>
      </c>
      <c r="H14" s="1">
        <f t="shared" si="1"/>
        <v>65</v>
      </c>
      <c r="K14" s="1" t="s">
        <v>26</v>
      </c>
    </row>
    <row r="15" spans="1:29">
      <c r="B15" s="1" t="s">
        <v>186</v>
      </c>
      <c r="C15" s="1">
        <v>57.3</v>
      </c>
      <c r="E15" s="1" t="s">
        <v>46</v>
      </c>
      <c r="F15" s="1">
        <v>208</v>
      </c>
      <c r="G15" s="1" t="s">
        <v>32</v>
      </c>
      <c r="H15" s="1">
        <f t="shared" si="1"/>
        <v>208</v>
      </c>
      <c r="K15" s="1" t="s">
        <v>26</v>
      </c>
    </row>
    <row r="16" spans="1:29">
      <c r="B16" s="1" t="s">
        <v>187</v>
      </c>
      <c r="C16" s="1">
        <v>30.9</v>
      </c>
      <c r="E16" s="1" t="s">
        <v>47</v>
      </c>
      <c r="F16" s="1">
        <v>24.99</v>
      </c>
      <c r="G16" s="1" t="s">
        <v>32</v>
      </c>
      <c r="H16" s="1">
        <f t="shared" si="1"/>
        <v>24.99</v>
      </c>
      <c r="K16" s="1" t="s">
        <v>44</v>
      </c>
    </row>
    <row r="17" spans="1:29">
      <c r="B17" s="1" t="s">
        <v>1</v>
      </c>
      <c r="C17" s="1">
        <v>500</v>
      </c>
      <c r="E17" s="1" t="s">
        <v>164</v>
      </c>
      <c r="F17" s="1">
        <v>14.99</v>
      </c>
      <c r="G17" s="1" t="s">
        <v>32</v>
      </c>
      <c r="H17" s="1">
        <f t="shared" si="1"/>
        <v>14.99</v>
      </c>
      <c r="K17" s="1" t="s">
        <v>44</v>
      </c>
    </row>
    <row r="18" spans="1:29">
      <c r="B18" s="1" t="s">
        <v>1</v>
      </c>
      <c r="C18" s="1">
        <v>300</v>
      </c>
      <c r="E18" s="1" t="s">
        <v>48</v>
      </c>
      <c r="F18" s="1">
        <v>14.99</v>
      </c>
      <c r="H18" s="1">
        <f t="shared" si="1"/>
        <v>0</v>
      </c>
      <c r="K18" s="1" t="s">
        <v>44</v>
      </c>
    </row>
    <row r="19" spans="1:29">
      <c r="B19" s="1" t="s">
        <v>188</v>
      </c>
      <c r="C19" s="1">
        <v>91</v>
      </c>
      <c r="E19" s="1" t="s">
        <v>49</v>
      </c>
      <c r="F19" s="1">
        <v>14.99</v>
      </c>
      <c r="G19" s="1" t="s">
        <v>32</v>
      </c>
      <c r="H19" s="1">
        <f t="shared" si="1"/>
        <v>14.99</v>
      </c>
      <c r="K19" s="1" t="s">
        <v>44</v>
      </c>
    </row>
    <row r="20" spans="1:29">
      <c r="B20" s="1" t="s">
        <v>189</v>
      </c>
      <c r="C20" s="1">
        <v>4</v>
      </c>
      <c r="E20" s="1" t="s">
        <v>50</v>
      </c>
      <c r="F20" s="1">
        <v>10.99</v>
      </c>
      <c r="G20" s="1" t="s">
        <v>32</v>
      </c>
      <c r="H20" s="1">
        <f t="shared" si="1"/>
        <v>10.99</v>
      </c>
      <c r="K20" s="1" t="s">
        <v>44</v>
      </c>
    </row>
    <row r="21" spans="1:29">
      <c r="B21" s="1" t="s">
        <v>190</v>
      </c>
      <c r="C21" s="1">
        <v>168</v>
      </c>
      <c r="E21" s="1" t="s">
        <v>51</v>
      </c>
      <c r="F21" s="1">
        <v>104.98</v>
      </c>
      <c r="G21" s="1" t="s">
        <v>32</v>
      </c>
      <c r="H21" s="1">
        <f t="shared" si="1"/>
        <v>104.98</v>
      </c>
      <c r="K21" s="1" t="s">
        <v>52</v>
      </c>
    </row>
    <row r="22" spans="1:29">
      <c r="K22" s="1"/>
    </row>
    <row r="23" spans="1:29">
      <c r="E23" s="1" t="s">
        <v>53</v>
      </c>
      <c r="F23" s="1">
        <v>62.88</v>
      </c>
      <c r="G23" s="1" t="s">
        <v>32</v>
      </c>
      <c r="H23" s="1">
        <f t="shared" ref="H23:H29" si="2">IF(G23="x",F23,0)</f>
        <v>62.88</v>
      </c>
      <c r="K23" s="1" t="s">
        <v>52</v>
      </c>
    </row>
    <row r="24" spans="1:29">
      <c r="E24" s="1" t="s">
        <v>105</v>
      </c>
      <c r="F24" s="1">
        <v>331.65</v>
      </c>
      <c r="G24" s="1" t="s">
        <v>32</v>
      </c>
      <c r="H24" s="1">
        <f t="shared" si="2"/>
        <v>331.65</v>
      </c>
      <c r="K24" s="1" t="s">
        <v>55</v>
      </c>
    </row>
    <row r="25" spans="1:29">
      <c r="E25" s="1" t="s">
        <v>56</v>
      </c>
      <c r="F25" s="1">
        <v>88.03</v>
      </c>
      <c r="G25" s="1" t="s">
        <v>32</v>
      </c>
      <c r="H25" s="1">
        <f t="shared" si="2"/>
        <v>88.03</v>
      </c>
      <c r="K25" s="1" t="s">
        <v>52</v>
      </c>
    </row>
    <row r="26" spans="1:29">
      <c r="E26" s="1" t="s">
        <v>57</v>
      </c>
      <c r="F26" s="1">
        <v>19</v>
      </c>
      <c r="H26" s="1">
        <f t="shared" si="2"/>
        <v>0</v>
      </c>
      <c r="K26" s="1" t="s">
        <v>52</v>
      </c>
    </row>
    <row r="27" spans="1:29">
      <c r="E27" s="1" t="s">
        <v>58</v>
      </c>
      <c r="F27" s="1">
        <v>20</v>
      </c>
      <c r="G27" s="1" t="s">
        <v>32</v>
      </c>
      <c r="H27" s="1">
        <f t="shared" si="2"/>
        <v>20</v>
      </c>
      <c r="K27" s="1" t="s">
        <v>59</v>
      </c>
    </row>
    <row r="28" spans="1:29">
      <c r="E28" s="1" t="s">
        <v>60</v>
      </c>
      <c r="F28" s="1">
        <v>21.99</v>
      </c>
      <c r="G28" s="1" t="s">
        <v>32</v>
      </c>
      <c r="H28" s="1">
        <f t="shared" si="2"/>
        <v>21.99</v>
      </c>
      <c r="K28" s="1" t="s">
        <v>44</v>
      </c>
    </row>
    <row r="29" spans="1:29">
      <c r="H29" s="1">
        <f t="shared" si="2"/>
        <v>0</v>
      </c>
      <c r="K29" s="1" t="s">
        <v>55</v>
      </c>
    </row>
    <row r="30" spans="1:29">
      <c r="E30" s="1" t="s">
        <v>61</v>
      </c>
      <c r="F30" s="1">
        <v>21.4</v>
      </c>
      <c r="G30" s="11" t="s">
        <v>32</v>
      </c>
      <c r="H30" s="10">
        <f>IF(G30="x",F30,0)</f>
        <v>21.4</v>
      </c>
      <c r="K30" s="1" t="s">
        <v>55</v>
      </c>
    </row>
    <row r="31" spans="1:29">
      <c r="E31" s="11" t="s">
        <v>62</v>
      </c>
      <c r="F31" s="10">
        <v>0.99</v>
      </c>
      <c r="G31" s="1" t="s">
        <v>32</v>
      </c>
      <c r="H31" s="1">
        <f t="shared" ref="H31:H38" si="3">IF(G31="x",F31,0)</f>
        <v>0.99</v>
      </c>
      <c r="K31" s="1" t="s">
        <v>44</v>
      </c>
    </row>
    <row r="32" spans="1:29">
      <c r="A32" s="11"/>
      <c r="B32" s="11"/>
      <c r="C32" s="11"/>
      <c r="D32" s="11"/>
      <c r="E32" s="1" t="s">
        <v>62</v>
      </c>
      <c r="F32" s="1">
        <v>0.99</v>
      </c>
      <c r="H32" s="1">
        <f t="shared" si="3"/>
        <v>0</v>
      </c>
      <c r="I32" s="11"/>
      <c r="J32" s="11"/>
      <c r="K32" s="1" t="s">
        <v>44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A33" s="11"/>
      <c r="B33" s="11"/>
      <c r="C33" s="11"/>
      <c r="D33" s="11"/>
      <c r="E33" s="1" t="s">
        <v>62</v>
      </c>
      <c r="F33" s="1">
        <v>16.989999999999998</v>
      </c>
      <c r="H33" s="1">
        <f t="shared" si="3"/>
        <v>0</v>
      </c>
      <c r="I33" s="11"/>
      <c r="J33" s="11"/>
      <c r="K33" s="1" t="s">
        <v>44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E34" s="1" t="s">
        <v>106</v>
      </c>
      <c r="F34" s="1">
        <v>196.9</v>
      </c>
      <c r="G34" s="1" t="s">
        <v>32</v>
      </c>
      <c r="H34" s="1">
        <f t="shared" si="3"/>
        <v>196.9</v>
      </c>
      <c r="I34" s="11"/>
      <c r="J34" s="11"/>
      <c r="K34" s="1" t="s">
        <v>64</v>
      </c>
    </row>
    <row r="35" spans="1:29">
      <c r="A35" s="1"/>
      <c r="E35" s="1" t="s">
        <v>65</v>
      </c>
      <c r="F35" s="1">
        <v>68</v>
      </c>
      <c r="G35" s="1" t="s">
        <v>32</v>
      </c>
      <c r="H35" s="1">
        <f t="shared" si="3"/>
        <v>68</v>
      </c>
      <c r="K35" s="1" t="s">
        <v>25</v>
      </c>
    </row>
    <row r="36" spans="1:29">
      <c r="A36" s="1"/>
      <c r="C36" s="1"/>
      <c r="E36" s="1" t="s">
        <v>66</v>
      </c>
      <c r="F36" s="1">
        <v>78.430000000000007</v>
      </c>
      <c r="G36" s="1" t="s">
        <v>32</v>
      </c>
      <c r="H36" s="1">
        <f t="shared" si="3"/>
        <v>78.430000000000007</v>
      </c>
      <c r="K36" s="1" t="s">
        <v>25</v>
      </c>
    </row>
    <row r="37" spans="1:29">
      <c r="A37" s="1"/>
      <c r="C37" s="1"/>
      <c r="E37" s="1" t="s">
        <v>67</v>
      </c>
      <c r="F37" s="1">
        <v>19.03</v>
      </c>
      <c r="G37" s="1" t="s">
        <v>32</v>
      </c>
      <c r="H37" s="1">
        <f t="shared" si="3"/>
        <v>19.03</v>
      </c>
      <c r="K37" s="1" t="s">
        <v>26</v>
      </c>
    </row>
    <row r="38" spans="1:29">
      <c r="A38" s="1"/>
      <c r="C38" s="1"/>
      <c r="E38" s="1" t="s">
        <v>68</v>
      </c>
      <c r="F38" s="1">
        <v>33.89</v>
      </c>
      <c r="G38" s="1" t="s">
        <v>32</v>
      </c>
      <c r="H38" s="1">
        <f t="shared" si="3"/>
        <v>33.89</v>
      </c>
      <c r="K38" s="1" t="s">
        <v>26</v>
      </c>
    </row>
    <row r="39" spans="1:29">
      <c r="A39" s="1" t="s">
        <v>69</v>
      </c>
      <c r="C39" s="1" t="e">
        <f>'Mai 2026'!D44</f>
        <v>#REF!</v>
      </c>
      <c r="K39" s="1"/>
    </row>
    <row r="40" spans="1:29">
      <c r="A40" s="1" t="s">
        <v>70</v>
      </c>
      <c r="C40" s="1">
        <f>SUM(C2:C6)</f>
        <v>7216.03</v>
      </c>
      <c r="E40" s="1" t="s">
        <v>71</v>
      </c>
      <c r="F40" s="1">
        <f>SUM(F2:F38)</f>
        <v>4231.8499999999985</v>
      </c>
      <c r="G40" s="1" t="s">
        <v>72</v>
      </c>
      <c r="H40" s="1">
        <f>SUM(H2:H38)</f>
        <v>4179.8799999999992</v>
      </c>
      <c r="I40" s="1" t="s">
        <v>73</v>
      </c>
      <c r="K40" s="1"/>
    </row>
    <row r="41" spans="1:29">
      <c r="A41" s="1" t="s">
        <v>74</v>
      </c>
      <c r="C41" s="1">
        <f>SUM(C8:C35)</f>
        <v>1297.6300000000001</v>
      </c>
      <c r="E41" s="1" t="s">
        <v>75</v>
      </c>
      <c r="F41" s="1" t="e">
        <f>C42-F40</f>
        <v>#REF!</v>
      </c>
      <c r="G41" s="1" t="s">
        <v>76</v>
      </c>
      <c r="H41" s="1" t="e">
        <f>C39+C40+C41-H40-F42</f>
        <v>#REF!</v>
      </c>
      <c r="K41" s="1"/>
    </row>
    <row r="42" spans="1:29">
      <c r="A42" s="1" t="s">
        <v>77</v>
      </c>
      <c r="C42" s="1" t="e">
        <f>SUM(C39:C41)</f>
        <v>#REF!</v>
      </c>
      <c r="E42" s="1" t="s">
        <v>78</v>
      </c>
      <c r="F42" s="1">
        <f>SUM(J44:J247)</f>
        <v>3893.129999999996</v>
      </c>
      <c r="K42" s="1"/>
    </row>
    <row r="43" spans="1:29" ht="15.75" customHeight="1">
      <c r="A43" s="12" t="s">
        <v>79</v>
      </c>
      <c r="B43" s="12" t="e">
        <f>$C$42-$F$40-$F$42</f>
        <v>#REF!</v>
      </c>
      <c r="C43" s="1" t="s">
        <v>80</v>
      </c>
      <c r="D43" s="1" t="e">
        <f>$C$42-$H$40-$F$42</f>
        <v>#REF!</v>
      </c>
      <c r="K43" s="1"/>
    </row>
    <row r="44" spans="1:29">
      <c r="A44" s="1" t="str">
        <f>IF(AND(NOT(ISBLANK(#REF!)),ISBLANK(G44)),"Reste prévu","")</f>
        <v>Reste prévu</v>
      </c>
      <c r="B44" s="1" t="e">
        <f>IF(AND(NOT(ISBLANK(#REF!)),ISBLANK($G44)),$C$42-$F$40-$F$42,"")</f>
        <v>#REF!</v>
      </c>
      <c r="C44" s="1" t="str">
        <f>IF(AND(NOT(ISBLANK(#REF!)),ISBLANK($G44)),"Reste réel","")</f>
        <v>Reste réel</v>
      </c>
      <c r="D44" s="1" t="e">
        <f>IF(AND(NOT(ISBLANK(#REF!)),ISBLANK($G44)),$C$42-$H$40-$F$42,"")</f>
        <v>#REF!</v>
      </c>
      <c r="J44" s="13">
        <f t="shared" ref="J44:J214" si="4">IF(I44="x",H44,0)</f>
        <v>0</v>
      </c>
      <c r="K44" s="1" t="s">
        <v>98</v>
      </c>
    </row>
    <row r="45" spans="1:29">
      <c r="A45" s="1" t="str">
        <f t="shared" ref="A45:A78" si="5">IF(AND(NOT(ISBLANK(G44)),ISBLANK(G45)),"Reste prévu","")</f>
        <v/>
      </c>
      <c r="B45" s="1" t="str">
        <f t="shared" ref="B45:B78" si="6">IF(AND(NOT(ISBLANK($G44)),ISBLANK($G45)),$C$42-$F$40-$F$42,"")</f>
        <v/>
      </c>
      <c r="C45" s="1" t="str">
        <f t="shared" ref="C45:C78" si="7">IF(AND(NOT(ISBLANK($G44)),ISBLANK($G45)),"Reste réel","")</f>
        <v/>
      </c>
      <c r="D45" s="1" t="str">
        <f t="shared" ref="D45:D78" si="8">IF(AND(NOT(ISBLANK($G44)),ISBLANK($G45)),$C$42-$H$40-$F$42,"")</f>
        <v/>
      </c>
      <c r="G45" s="1" t="s">
        <v>81</v>
      </c>
      <c r="H45" s="1">
        <v>5.99</v>
      </c>
      <c r="I45" s="1" t="s">
        <v>32</v>
      </c>
      <c r="J45" s="13">
        <f t="shared" si="4"/>
        <v>5.99</v>
      </c>
      <c r="K45" s="1" t="s">
        <v>89</v>
      </c>
    </row>
    <row r="46" spans="1:29">
      <c r="A46" s="1" t="str">
        <f t="shared" si="5"/>
        <v/>
      </c>
      <c r="B46" s="1" t="str">
        <f t="shared" si="6"/>
        <v/>
      </c>
      <c r="C46" s="1" t="str">
        <f t="shared" si="7"/>
        <v/>
      </c>
      <c r="D46" s="1" t="str">
        <f t="shared" si="8"/>
        <v/>
      </c>
      <c r="G46" s="1" t="s">
        <v>81</v>
      </c>
      <c r="H46" s="1">
        <v>31.89</v>
      </c>
      <c r="I46" s="1" t="s">
        <v>32</v>
      </c>
      <c r="J46" s="13">
        <f t="shared" si="4"/>
        <v>31.89</v>
      </c>
      <c r="K46" s="1" t="s">
        <v>89</v>
      </c>
    </row>
    <row r="47" spans="1:29">
      <c r="A47" s="1" t="str">
        <f t="shared" si="5"/>
        <v/>
      </c>
      <c r="B47" s="1" t="str">
        <f t="shared" si="6"/>
        <v/>
      </c>
      <c r="C47" s="1" t="str">
        <f t="shared" si="7"/>
        <v/>
      </c>
      <c r="D47" s="1" t="str">
        <f t="shared" si="8"/>
        <v/>
      </c>
      <c r="G47" s="1" t="s">
        <v>81</v>
      </c>
      <c r="H47" s="1">
        <v>35.979999999999997</v>
      </c>
      <c r="I47" s="1" t="s">
        <v>32</v>
      </c>
      <c r="J47" s="13">
        <f t="shared" si="4"/>
        <v>35.979999999999997</v>
      </c>
      <c r="K47" s="1" t="s">
        <v>89</v>
      </c>
    </row>
    <row r="48" spans="1:29">
      <c r="A48" s="1" t="str">
        <f t="shared" si="5"/>
        <v/>
      </c>
      <c r="B48" s="1" t="str">
        <f t="shared" si="6"/>
        <v/>
      </c>
      <c r="C48" s="1" t="str">
        <f t="shared" si="7"/>
        <v/>
      </c>
      <c r="D48" s="1" t="str">
        <f t="shared" si="8"/>
        <v/>
      </c>
      <c r="G48" s="1" t="s">
        <v>206</v>
      </c>
      <c r="H48" s="1">
        <v>2</v>
      </c>
      <c r="I48" s="1" t="s">
        <v>32</v>
      </c>
      <c r="J48" s="13">
        <f t="shared" si="4"/>
        <v>2</v>
      </c>
      <c r="K48" s="1" t="s">
        <v>98</v>
      </c>
    </row>
    <row r="49" spans="1:11">
      <c r="A49" s="1" t="str">
        <f t="shared" si="5"/>
        <v/>
      </c>
      <c r="B49" s="1" t="str">
        <f t="shared" si="6"/>
        <v/>
      </c>
      <c r="C49" s="1" t="str">
        <f t="shared" si="7"/>
        <v/>
      </c>
      <c r="D49" s="1" t="str">
        <f t="shared" si="8"/>
        <v/>
      </c>
      <c r="G49" s="1" t="s">
        <v>206</v>
      </c>
      <c r="H49" s="1">
        <v>4.5</v>
      </c>
      <c r="I49" s="1" t="s">
        <v>32</v>
      </c>
      <c r="J49" s="13">
        <f t="shared" si="4"/>
        <v>4.5</v>
      </c>
      <c r="K49" s="1" t="s">
        <v>98</v>
      </c>
    </row>
    <row r="50" spans="1:11">
      <c r="A50" s="1" t="str">
        <f t="shared" si="5"/>
        <v/>
      </c>
      <c r="B50" s="1" t="str">
        <f t="shared" si="6"/>
        <v/>
      </c>
      <c r="C50" s="1" t="str">
        <f t="shared" si="7"/>
        <v/>
      </c>
      <c r="D50" s="1" t="str">
        <f t="shared" si="8"/>
        <v/>
      </c>
      <c r="G50" s="1" t="s">
        <v>206</v>
      </c>
      <c r="H50" s="1">
        <v>5</v>
      </c>
      <c r="I50" s="1" t="s">
        <v>32</v>
      </c>
      <c r="J50" s="13">
        <f t="shared" si="4"/>
        <v>5</v>
      </c>
      <c r="K50" s="1" t="s">
        <v>98</v>
      </c>
    </row>
    <row r="51" spans="1:11">
      <c r="A51" s="1" t="str">
        <f t="shared" si="5"/>
        <v/>
      </c>
      <c r="B51" s="1" t="str">
        <f t="shared" si="6"/>
        <v/>
      </c>
      <c r="C51" s="1" t="str">
        <f t="shared" si="7"/>
        <v/>
      </c>
      <c r="D51" s="1" t="str">
        <f t="shared" si="8"/>
        <v/>
      </c>
      <c r="G51" s="1" t="s">
        <v>206</v>
      </c>
      <c r="H51" s="1">
        <v>6</v>
      </c>
      <c r="I51" s="1" t="s">
        <v>32</v>
      </c>
      <c r="J51" s="13">
        <f t="shared" si="4"/>
        <v>6</v>
      </c>
      <c r="K51" s="1" t="s">
        <v>98</v>
      </c>
    </row>
    <row r="52" spans="1:11">
      <c r="A52" s="1" t="str">
        <f t="shared" si="5"/>
        <v/>
      </c>
      <c r="B52" s="1" t="str">
        <f t="shared" si="6"/>
        <v/>
      </c>
      <c r="C52" s="1" t="str">
        <f t="shared" si="7"/>
        <v/>
      </c>
      <c r="D52" s="1" t="str">
        <f t="shared" si="8"/>
        <v/>
      </c>
      <c r="G52" s="1" t="s">
        <v>206</v>
      </c>
      <c r="H52" s="1">
        <v>9</v>
      </c>
      <c r="I52" s="1" t="s">
        <v>32</v>
      </c>
      <c r="J52" s="13">
        <f t="shared" si="4"/>
        <v>9</v>
      </c>
      <c r="K52" s="1" t="s">
        <v>98</v>
      </c>
    </row>
    <row r="53" spans="1:11">
      <c r="A53" s="1" t="str">
        <f t="shared" si="5"/>
        <v/>
      </c>
      <c r="B53" s="1" t="str">
        <f t="shared" si="6"/>
        <v/>
      </c>
      <c r="C53" s="1" t="str">
        <f t="shared" si="7"/>
        <v/>
      </c>
      <c r="D53" s="1" t="str">
        <f t="shared" si="8"/>
        <v/>
      </c>
      <c r="G53" s="1" t="s">
        <v>115</v>
      </c>
      <c r="H53" s="1">
        <v>13</v>
      </c>
      <c r="I53" s="1" t="s">
        <v>32</v>
      </c>
      <c r="J53" s="13">
        <f t="shared" si="4"/>
        <v>13</v>
      </c>
      <c r="K53" s="1" t="s">
        <v>59</v>
      </c>
    </row>
    <row r="54" spans="1:11">
      <c r="A54" s="1" t="str">
        <f t="shared" si="5"/>
        <v/>
      </c>
      <c r="B54" s="1" t="str">
        <f t="shared" si="6"/>
        <v/>
      </c>
      <c r="C54" s="1" t="str">
        <f t="shared" si="7"/>
        <v/>
      </c>
      <c r="D54" s="1" t="str">
        <f t="shared" si="8"/>
        <v/>
      </c>
      <c r="G54" s="1" t="s">
        <v>208</v>
      </c>
      <c r="H54" s="1">
        <v>44.58</v>
      </c>
      <c r="I54" s="1" t="s">
        <v>32</v>
      </c>
      <c r="J54" s="13">
        <f t="shared" si="4"/>
        <v>44.58</v>
      </c>
      <c r="K54" s="1" t="s">
        <v>24</v>
      </c>
    </row>
    <row r="55" spans="1:11">
      <c r="A55" s="1" t="str">
        <f t="shared" si="5"/>
        <v/>
      </c>
      <c r="B55" s="1" t="str">
        <f t="shared" si="6"/>
        <v/>
      </c>
      <c r="C55" s="1" t="str">
        <f t="shared" si="7"/>
        <v/>
      </c>
      <c r="D55" s="1" t="str">
        <f t="shared" si="8"/>
        <v/>
      </c>
      <c r="G55" s="1" t="s">
        <v>210</v>
      </c>
      <c r="H55" s="1">
        <v>67.5</v>
      </c>
      <c r="I55" s="1" t="s">
        <v>32</v>
      </c>
      <c r="J55" s="13">
        <f t="shared" si="4"/>
        <v>67.5</v>
      </c>
      <c r="K55" s="1" t="s">
        <v>83</v>
      </c>
    </row>
    <row r="56" spans="1:11">
      <c r="A56" s="1" t="str">
        <f t="shared" si="5"/>
        <v/>
      </c>
      <c r="B56" s="1" t="str">
        <f t="shared" si="6"/>
        <v/>
      </c>
      <c r="C56" s="1" t="str">
        <f t="shared" si="7"/>
        <v/>
      </c>
      <c r="D56" s="1" t="str">
        <f t="shared" si="8"/>
        <v/>
      </c>
      <c r="G56" s="1" t="s">
        <v>87</v>
      </c>
      <c r="H56" s="1">
        <v>15.68</v>
      </c>
      <c r="I56" s="1" t="s">
        <v>32</v>
      </c>
      <c r="J56" s="13">
        <f t="shared" si="4"/>
        <v>15.68</v>
      </c>
      <c r="K56" s="1" t="s">
        <v>24</v>
      </c>
    </row>
    <row r="57" spans="1:11">
      <c r="A57" s="1" t="str">
        <f t="shared" si="5"/>
        <v/>
      </c>
      <c r="B57" s="1" t="str">
        <f t="shared" si="6"/>
        <v/>
      </c>
      <c r="C57" s="1" t="str">
        <f t="shared" si="7"/>
        <v/>
      </c>
      <c r="D57" s="1" t="str">
        <f t="shared" si="8"/>
        <v/>
      </c>
      <c r="G57" s="1" t="s">
        <v>201</v>
      </c>
      <c r="H57" s="1">
        <v>34.979999999999997</v>
      </c>
      <c r="I57" s="1" t="s">
        <v>32</v>
      </c>
      <c r="J57" s="13">
        <f t="shared" si="4"/>
        <v>34.979999999999997</v>
      </c>
      <c r="K57" s="1" t="s">
        <v>98</v>
      </c>
    </row>
    <row r="58" spans="1:11">
      <c r="A58" s="1" t="str">
        <f t="shared" si="5"/>
        <v/>
      </c>
      <c r="B58" s="1" t="str">
        <f t="shared" si="6"/>
        <v/>
      </c>
      <c r="C58" s="1" t="str">
        <f t="shared" si="7"/>
        <v/>
      </c>
      <c r="D58" s="1" t="str">
        <f t="shared" si="8"/>
        <v/>
      </c>
      <c r="G58" s="1" t="s">
        <v>87</v>
      </c>
      <c r="H58" s="1">
        <v>61.86</v>
      </c>
      <c r="I58" s="1" t="s">
        <v>32</v>
      </c>
      <c r="J58" s="13">
        <f t="shared" si="4"/>
        <v>61.86</v>
      </c>
      <c r="K58" s="1" t="s">
        <v>24</v>
      </c>
    </row>
    <row r="59" spans="1:11">
      <c r="A59" s="1" t="str">
        <f t="shared" si="5"/>
        <v/>
      </c>
      <c r="B59" s="1" t="str">
        <f t="shared" si="6"/>
        <v/>
      </c>
      <c r="C59" s="1" t="str">
        <f t="shared" si="7"/>
        <v/>
      </c>
      <c r="D59" s="1" t="str">
        <f t="shared" si="8"/>
        <v/>
      </c>
      <c r="G59" s="1" t="s">
        <v>87</v>
      </c>
      <c r="H59" s="1">
        <v>17.09</v>
      </c>
      <c r="I59" s="1" t="s">
        <v>32</v>
      </c>
      <c r="J59" s="13">
        <f t="shared" si="4"/>
        <v>17.09</v>
      </c>
      <c r="K59" s="1" t="s">
        <v>24</v>
      </c>
    </row>
    <row r="60" spans="1:11">
      <c r="A60" s="1" t="str">
        <f t="shared" si="5"/>
        <v/>
      </c>
      <c r="B60" s="1" t="str">
        <f t="shared" si="6"/>
        <v/>
      </c>
      <c r="C60" s="1" t="str">
        <f t="shared" si="7"/>
        <v/>
      </c>
      <c r="D60" s="1" t="str">
        <f t="shared" si="8"/>
        <v/>
      </c>
      <c r="G60" s="1" t="s">
        <v>87</v>
      </c>
      <c r="H60" s="1">
        <v>32.880000000000003</v>
      </c>
      <c r="I60" s="1" t="s">
        <v>32</v>
      </c>
      <c r="J60" s="13">
        <f t="shared" si="4"/>
        <v>32.880000000000003</v>
      </c>
      <c r="K60" s="1" t="s">
        <v>24</v>
      </c>
    </row>
    <row r="61" spans="1:11">
      <c r="A61" s="1" t="str">
        <f t="shared" si="5"/>
        <v/>
      </c>
      <c r="B61" s="1" t="str">
        <f t="shared" si="6"/>
        <v/>
      </c>
      <c r="C61" s="1" t="str">
        <f t="shared" si="7"/>
        <v/>
      </c>
      <c r="D61" s="1" t="str">
        <f t="shared" si="8"/>
        <v/>
      </c>
      <c r="G61" s="1" t="s">
        <v>212</v>
      </c>
      <c r="H61" s="1">
        <v>84</v>
      </c>
      <c r="I61" s="1" t="s">
        <v>32</v>
      </c>
      <c r="J61" s="13">
        <f t="shared" si="4"/>
        <v>84</v>
      </c>
      <c r="K61" s="1" t="s">
        <v>59</v>
      </c>
    </row>
    <row r="62" spans="1:11">
      <c r="A62" s="1" t="str">
        <f t="shared" si="5"/>
        <v/>
      </c>
      <c r="B62" s="1" t="str">
        <f t="shared" si="6"/>
        <v/>
      </c>
      <c r="C62" s="1" t="str">
        <f t="shared" si="7"/>
        <v/>
      </c>
      <c r="D62" s="1" t="str">
        <f t="shared" si="8"/>
        <v/>
      </c>
      <c r="G62" s="1" t="s">
        <v>213</v>
      </c>
      <c r="H62" s="1">
        <v>5.49</v>
      </c>
      <c r="I62" s="1" t="s">
        <v>32</v>
      </c>
      <c r="J62" s="13">
        <f t="shared" si="4"/>
        <v>5.49</v>
      </c>
      <c r="K62" s="1" t="s">
        <v>59</v>
      </c>
    </row>
    <row r="63" spans="1:11">
      <c r="A63" s="1" t="str">
        <f t="shared" si="5"/>
        <v/>
      </c>
      <c r="B63" s="1" t="str">
        <f t="shared" si="6"/>
        <v/>
      </c>
      <c r="C63" s="1" t="str">
        <f t="shared" si="7"/>
        <v/>
      </c>
      <c r="D63" s="1" t="str">
        <f t="shared" si="8"/>
        <v/>
      </c>
      <c r="G63" s="1" t="s">
        <v>113</v>
      </c>
      <c r="H63" s="1">
        <v>133.55000000000001</v>
      </c>
      <c r="I63" s="1" t="s">
        <v>32</v>
      </c>
      <c r="J63" s="13">
        <f t="shared" si="4"/>
        <v>133.55000000000001</v>
      </c>
      <c r="K63" s="1" t="s">
        <v>55</v>
      </c>
    </row>
    <row r="64" spans="1:11">
      <c r="A64" s="1" t="str">
        <f t="shared" si="5"/>
        <v/>
      </c>
      <c r="B64" s="1" t="str">
        <f t="shared" si="6"/>
        <v/>
      </c>
      <c r="C64" s="1" t="str">
        <f t="shared" si="7"/>
        <v/>
      </c>
      <c r="D64" s="1" t="str">
        <f t="shared" si="8"/>
        <v/>
      </c>
      <c r="G64" s="1" t="s">
        <v>215</v>
      </c>
      <c r="H64" s="1">
        <v>200.99</v>
      </c>
      <c r="I64" s="1" t="s">
        <v>32</v>
      </c>
      <c r="J64" s="13">
        <f t="shared" si="4"/>
        <v>200.99</v>
      </c>
      <c r="K64" s="1" t="s">
        <v>89</v>
      </c>
    </row>
    <row r="65" spans="1:11">
      <c r="A65" s="1" t="str">
        <f t="shared" si="5"/>
        <v/>
      </c>
      <c r="B65" s="1" t="str">
        <f t="shared" si="6"/>
        <v/>
      </c>
      <c r="C65" s="1" t="str">
        <f t="shared" si="7"/>
        <v/>
      </c>
      <c r="D65" s="1" t="str">
        <f t="shared" si="8"/>
        <v/>
      </c>
      <c r="G65" s="1" t="s">
        <v>87</v>
      </c>
      <c r="H65" s="1">
        <v>6.86</v>
      </c>
      <c r="I65" s="1" t="s">
        <v>32</v>
      </c>
      <c r="J65" s="13">
        <f t="shared" si="4"/>
        <v>6.86</v>
      </c>
      <c r="K65" s="1" t="s">
        <v>24</v>
      </c>
    </row>
    <row r="66" spans="1:11">
      <c r="A66" s="1" t="str">
        <f t="shared" si="5"/>
        <v/>
      </c>
      <c r="B66" s="1" t="str">
        <f t="shared" si="6"/>
        <v/>
      </c>
      <c r="C66" s="1" t="str">
        <f t="shared" si="7"/>
        <v/>
      </c>
      <c r="D66" s="1" t="str">
        <f t="shared" si="8"/>
        <v/>
      </c>
      <c r="G66" s="1" t="s">
        <v>216</v>
      </c>
      <c r="H66" s="1">
        <v>41.59</v>
      </c>
      <c r="I66" s="1" t="s">
        <v>32</v>
      </c>
      <c r="J66" s="13">
        <f t="shared" si="4"/>
        <v>41.59</v>
      </c>
      <c r="K66" s="1" t="s">
        <v>24</v>
      </c>
    </row>
    <row r="67" spans="1:11">
      <c r="A67" s="1" t="str">
        <f t="shared" si="5"/>
        <v/>
      </c>
      <c r="B67" s="1" t="str">
        <f t="shared" si="6"/>
        <v/>
      </c>
      <c r="C67" s="1" t="str">
        <f t="shared" si="7"/>
        <v/>
      </c>
      <c r="D67" s="1" t="str">
        <f t="shared" si="8"/>
        <v/>
      </c>
      <c r="G67" s="1" t="s">
        <v>218</v>
      </c>
      <c r="H67" s="1">
        <v>200</v>
      </c>
      <c r="I67" s="1" t="s">
        <v>32</v>
      </c>
      <c r="J67" s="13">
        <f t="shared" si="4"/>
        <v>200</v>
      </c>
      <c r="K67" s="1" t="s">
        <v>26</v>
      </c>
    </row>
    <row r="68" spans="1:11">
      <c r="A68" s="1" t="str">
        <f t="shared" si="5"/>
        <v/>
      </c>
      <c r="B68" s="1" t="str">
        <f t="shared" si="6"/>
        <v/>
      </c>
      <c r="C68" s="1" t="str">
        <f t="shared" si="7"/>
        <v/>
      </c>
      <c r="D68" s="1" t="str">
        <f t="shared" si="8"/>
        <v/>
      </c>
      <c r="G68" s="1" t="s">
        <v>192</v>
      </c>
      <c r="H68" s="1">
        <v>24.99</v>
      </c>
      <c r="I68" s="1" t="s">
        <v>32</v>
      </c>
      <c r="J68" s="13">
        <f t="shared" si="4"/>
        <v>24.99</v>
      </c>
      <c r="K68" s="1" t="s">
        <v>83</v>
      </c>
    </row>
    <row r="69" spans="1:11">
      <c r="A69" s="1" t="str">
        <f t="shared" si="5"/>
        <v/>
      </c>
      <c r="B69" s="1" t="str">
        <f t="shared" si="6"/>
        <v/>
      </c>
      <c r="C69" s="1" t="str">
        <f t="shared" si="7"/>
        <v/>
      </c>
      <c r="D69" s="1" t="str">
        <f t="shared" si="8"/>
        <v/>
      </c>
      <c r="G69" s="1" t="s">
        <v>219</v>
      </c>
      <c r="H69" s="1">
        <v>97.77</v>
      </c>
      <c r="I69" s="1" t="s">
        <v>32</v>
      </c>
      <c r="J69" s="13">
        <f t="shared" si="4"/>
        <v>97.77</v>
      </c>
      <c r="K69" s="1" t="s">
        <v>24</v>
      </c>
    </row>
    <row r="70" spans="1:11">
      <c r="A70" s="1" t="str">
        <f t="shared" si="5"/>
        <v/>
      </c>
      <c r="B70" s="1" t="str">
        <f t="shared" si="6"/>
        <v/>
      </c>
      <c r="C70" s="1" t="str">
        <f t="shared" si="7"/>
        <v/>
      </c>
      <c r="D70" s="1" t="str">
        <f t="shared" si="8"/>
        <v/>
      </c>
      <c r="G70" s="1" t="s">
        <v>87</v>
      </c>
      <c r="H70" s="1">
        <v>45.12</v>
      </c>
      <c r="I70" s="1" t="s">
        <v>32</v>
      </c>
      <c r="J70" s="13">
        <f t="shared" si="4"/>
        <v>45.12</v>
      </c>
      <c r="K70" s="1" t="s">
        <v>24</v>
      </c>
    </row>
    <row r="71" spans="1:11">
      <c r="A71" s="1" t="str">
        <f t="shared" si="5"/>
        <v/>
      </c>
      <c r="B71" s="1" t="str">
        <f t="shared" si="6"/>
        <v/>
      </c>
      <c r="C71" s="1" t="str">
        <f t="shared" si="7"/>
        <v/>
      </c>
      <c r="D71" s="1" t="str">
        <f t="shared" si="8"/>
        <v/>
      </c>
      <c r="G71" s="1" t="s">
        <v>220</v>
      </c>
      <c r="H71" s="1">
        <v>30.5</v>
      </c>
      <c r="I71" s="1" t="s">
        <v>32</v>
      </c>
      <c r="J71" s="13">
        <f t="shared" si="4"/>
        <v>30.5</v>
      </c>
      <c r="K71" s="1" t="s">
        <v>98</v>
      </c>
    </row>
    <row r="72" spans="1:11">
      <c r="A72" s="1" t="str">
        <f t="shared" si="5"/>
        <v/>
      </c>
      <c r="B72" s="1" t="str">
        <f t="shared" si="6"/>
        <v/>
      </c>
      <c r="C72" s="1" t="str">
        <f t="shared" si="7"/>
        <v/>
      </c>
      <c r="D72" s="1" t="str">
        <f t="shared" si="8"/>
        <v/>
      </c>
      <c r="G72" s="1" t="s">
        <v>220</v>
      </c>
      <c r="H72" s="1">
        <v>56.1</v>
      </c>
      <c r="I72" s="1" t="s">
        <v>32</v>
      </c>
      <c r="J72" s="13">
        <f t="shared" si="4"/>
        <v>56.1</v>
      </c>
      <c r="K72" s="1" t="s">
        <v>98</v>
      </c>
    </row>
    <row r="73" spans="1:11">
      <c r="A73" s="1" t="str">
        <f t="shared" si="5"/>
        <v/>
      </c>
      <c r="B73" s="1" t="str">
        <f t="shared" si="6"/>
        <v/>
      </c>
      <c r="C73" s="1" t="str">
        <f t="shared" si="7"/>
        <v/>
      </c>
      <c r="D73" s="1" t="str">
        <f t="shared" si="8"/>
        <v/>
      </c>
      <c r="G73" s="1" t="s">
        <v>222</v>
      </c>
      <c r="H73" s="1">
        <v>3</v>
      </c>
      <c r="I73" s="1" t="s">
        <v>32</v>
      </c>
      <c r="J73" s="13">
        <f t="shared" si="4"/>
        <v>3</v>
      </c>
      <c r="K73" s="1" t="s">
        <v>85</v>
      </c>
    </row>
    <row r="74" spans="1:11">
      <c r="A74" s="1" t="str">
        <f t="shared" si="5"/>
        <v/>
      </c>
      <c r="B74" s="1" t="str">
        <f t="shared" si="6"/>
        <v/>
      </c>
      <c r="C74" s="1" t="str">
        <f t="shared" si="7"/>
        <v/>
      </c>
      <c r="D74" s="1" t="str">
        <f t="shared" si="8"/>
        <v/>
      </c>
      <c r="G74" s="1" t="s">
        <v>223</v>
      </c>
      <c r="H74" s="1">
        <v>4.3</v>
      </c>
      <c r="I74" s="1" t="s">
        <v>32</v>
      </c>
      <c r="J74" s="13">
        <f t="shared" si="4"/>
        <v>4.3</v>
      </c>
      <c r="K74" s="1" t="s">
        <v>24</v>
      </c>
    </row>
    <row r="75" spans="1:11">
      <c r="A75" s="1" t="str">
        <f t="shared" si="5"/>
        <v/>
      </c>
      <c r="B75" s="1" t="str">
        <f t="shared" si="6"/>
        <v/>
      </c>
      <c r="C75" s="1" t="str">
        <f t="shared" si="7"/>
        <v/>
      </c>
      <c r="D75" s="1" t="str">
        <f t="shared" si="8"/>
        <v/>
      </c>
      <c r="G75" s="1" t="s">
        <v>224</v>
      </c>
      <c r="H75" s="1">
        <v>104.7</v>
      </c>
      <c r="I75" s="1" t="s">
        <v>32</v>
      </c>
      <c r="J75" s="13">
        <f t="shared" si="4"/>
        <v>104.7</v>
      </c>
      <c r="K75" s="1" t="s">
        <v>83</v>
      </c>
    </row>
    <row r="76" spans="1:11">
      <c r="A76" s="1" t="str">
        <f t="shared" si="5"/>
        <v/>
      </c>
      <c r="B76" s="1" t="str">
        <f t="shared" si="6"/>
        <v/>
      </c>
      <c r="C76" s="1" t="str">
        <f t="shared" si="7"/>
        <v/>
      </c>
      <c r="D76" s="1" t="str">
        <f t="shared" si="8"/>
        <v/>
      </c>
      <c r="G76" s="1" t="s">
        <v>226</v>
      </c>
      <c r="H76" s="1">
        <v>18.75</v>
      </c>
      <c r="I76" s="1" t="s">
        <v>32</v>
      </c>
      <c r="J76" s="13">
        <f t="shared" si="4"/>
        <v>18.75</v>
      </c>
      <c r="K76" s="1" t="s">
        <v>24</v>
      </c>
    </row>
    <row r="77" spans="1:11">
      <c r="A77" s="1" t="str">
        <f t="shared" si="5"/>
        <v/>
      </c>
      <c r="B77" s="1" t="str">
        <f t="shared" si="6"/>
        <v/>
      </c>
      <c r="C77" s="1" t="str">
        <f t="shared" si="7"/>
        <v/>
      </c>
      <c r="D77" s="1" t="str">
        <f t="shared" si="8"/>
        <v/>
      </c>
      <c r="G77" s="1" t="s">
        <v>87</v>
      </c>
      <c r="H77" s="1">
        <v>194.42</v>
      </c>
      <c r="I77" s="1" t="s">
        <v>32</v>
      </c>
      <c r="J77" s="13">
        <f t="shared" si="4"/>
        <v>194.42</v>
      </c>
      <c r="K77" s="1" t="s">
        <v>24</v>
      </c>
    </row>
    <row r="78" spans="1:11">
      <c r="A78" s="1" t="str">
        <f t="shared" si="5"/>
        <v/>
      </c>
      <c r="B78" s="1" t="str">
        <f t="shared" si="6"/>
        <v/>
      </c>
      <c r="C78" s="1" t="str">
        <f t="shared" si="7"/>
        <v/>
      </c>
      <c r="D78" s="1" t="str">
        <f t="shared" si="8"/>
        <v/>
      </c>
      <c r="G78" s="1" t="s">
        <v>87</v>
      </c>
      <c r="H78" s="1">
        <v>41.95</v>
      </c>
      <c r="I78" s="1" t="s">
        <v>32</v>
      </c>
      <c r="J78" s="13">
        <f t="shared" si="4"/>
        <v>41.95</v>
      </c>
      <c r="K78" s="1" t="s">
        <v>24</v>
      </c>
    </row>
    <row r="79" spans="1:11">
      <c r="G79" s="1" t="s">
        <v>93</v>
      </c>
      <c r="H79" s="1">
        <v>76.17</v>
      </c>
      <c r="I79" s="1" t="s">
        <v>32</v>
      </c>
      <c r="J79" s="13">
        <f t="shared" si="4"/>
        <v>76.17</v>
      </c>
      <c r="K79" s="1" t="s">
        <v>24</v>
      </c>
    </row>
    <row r="80" spans="1:11">
      <c r="A80" s="1" t="str">
        <f>IF(AND(NOT(ISBLANK(G78)),ISBLANK(G80)),"Reste prévu","")</f>
        <v/>
      </c>
      <c r="B80" s="1" t="str">
        <f>IF(AND(NOT(ISBLANK($G78)),ISBLANK($G80)),$C$42-$F$40-$F$42,"")</f>
        <v/>
      </c>
      <c r="C80" s="1" t="str">
        <f>IF(AND(NOT(ISBLANK($G78)),ISBLANK($G80)),"Reste réel","")</f>
        <v/>
      </c>
      <c r="D80" s="1" t="str">
        <f>IF(AND(NOT(ISBLANK($G78)),ISBLANK($G80)),$C$42-$H$40-$F$42,"")</f>
        <v/>
      </c>
      <c r="G80" s="1" t="s">
        <v>213</v>
      </c>
      <c r="H80" s="1">
        <v>9.2899999999999991</v>
      </c>
      <c r="I80" s="1" t="s">
        <v>32</v>
      </c>
      <c r="J80" s="13">
        <f t="shared" si="4"/>
        <v>9.2899999999999991</v>
      </c>
      <c r="K80" s="1" t="s">
        <v>29</v>
      </c>
    </row>
    <row r="81" spans="1:11">
      <c r="A81" s="1" t="str">
        <f t="shared" ref="A81:A237" si="9">IF(AND(NOT(ISBLANK(G80)),ISBLANK(G81)),"Reste prévu","")</f>
        <v/>
      </c>
      <c r="B81" s="1" t="str">
        <f t="shared" ref="B81:B237" si="10">IF(AND(NOT(ISBLANK($G80)),ISBLANK($G81)),$C$42-$F$40-$F$42,"")</f>
        <v/>
      </c>
      <c r="C81" s="1" t="str">
        <f t="shared" ref="C81:C237" si="11">IF(AND(NOT(ISBLANK($G80)),ISBLANK($G81)),"Reste réel","")</f>
        <v/>
      </c>
      <c r="D81" s="1" t="str">
        <f t="shared" ref="D81:D237" si="12">IF(AND(NOT(ISBLANK($G80)),ISBLANK($G81)),$C$42-$H$40-$F$42,"")</f>
        <v/>
      </c>
      <c r="G81" s="1" t="s">
        <v>115</v>
      </c>
      <c r="H81" s="1">
        <v>13</v>
      </c>
      <c r="I81" s="1" t="s">
        <v>32</v>
      </c>
      <c r="J81" s="13">
        <f t="shared" si="4"/>
        <v>13</v>
      </c>
      <c r="K81" s="1" t="s">
        <v>59</v>
      </c>
    </row>
    <row r="82" spans="1:11">
      <c r="A82" s="1" t="str">
        <f t="shared" si="9"/>
        <v/>
      </c>
      <c r="B82" s="1" t="str">
        <f t="shared" si="10"/>
        <v/>
      </c>
      <c r="C82" s="1" t="str">
        <f t="shared" si="11"/>
        <v/>
      </c>
      <c r="D82" s="1" t="str">
        <f t="shared" si="12"/>
        <v/>
      </c>
      <c r="G82" s="1" t="s">
        <v>227</v>
      </c>
      <c r="H82" s="1">
        <v>68.900000000000006</v>
      </c>
      <c r="I82" s="1" t="s">
        <v>32</v>
      </c>
      <c r="J82" s="13">
        <f t="shared" si="4"/>
        <v>68.900000000000006</v>
      </c>
      <c r="K82" s="1" t="s">
        <v>83</v>
      </c>
    </row>
    <row r="83" spans="1:11">
      <c r="A83" s="1" t="str">
        <f t="shared" si="9"/>
        <v/>
      </c>
      <c r="B83" s="1" t="str">
        <f t="shared" si="10"/>
        <v/>
      </c>
      <c r="C83" s="1" t="str">
        <f t="shared" si="11"/>
        <v/>
      </c>
      <c r="D83" s="1" t="str">
        <f t="shared" si="12"/>
        <v/>
      </c>
      <c r="G83" s="1" t="s">
        <v>230</v>
      </c>
      <c r="H83" s="1">
        <v>88.6</v>
      </c>
      <c r="I83" s="1" t="s">
        <v>32</v>
      </c>
      <c r="J83" s="13">
        <f t="shared" si="4"/>
        <v>88.6</v>
      </c>
      <c r="K83" s="1" t="s">
        <v>24</v>
      </c>
    </row>
    <row r="84" spans="1:11">
      <c r="A84" s="1" t="str">
        <f t="shared" si="9"/>
        <v/>
      </c>
      <c r="B84" s="1" t="str">
        <f t="shared" si="10"/>
        <v/>
      </c>
      <c r="C84" s="1" t="str">
        <f t="shared" si="11"/>
        <v/>
      </c>
      <c r="D84" s="1" t="str">
        <f t="shared" si="12"/>
        <v/>
      </c>
      <c r="G84" s="1" t="s">
        <v>231</v>
      </c>
      <c r="H84" s="1">
        <v>1.2</v>
      </c>
      <c r="I84" s="1" t="s">
        <v>32</v>
      </c>
      <c r="J84" s="13">
        <f t="shared" si="4"/>
        <v>1.2</v>
      </c>
      <c r="K84" s="1" t="s">
        <v>98</v>
      </c>
    </row>
    <row r="85" spans="1:11">
      <c r="A85" s="1" t="str">
        <f t="shared" si="9"/>
        <v/>
      </c>
      <c r="B85" s="1" t="str">
        <f t="shared" si="10"/>
        <v/>
      </c>
      <c r="C85" s="1" t="str">
        <f t="shared" si="11"/>
        <v/>
      </c>
      <c r="D85" s="1" t="str">
        <f t="shared" si="12"/>
        <v/>
      </c>
      <c r="G85" s="1" t="s">
        <v>231</v>
      </c>
      <c r="H85" s="1">
        <v>1.2</v>
      </c>
      <c r="I85" s="1" t="s">
        <v>32</v>
      </c>
      <c r="J85" s="13">
        <f t="shared" si="4"/>
        <v>1.2</v>
      </c>
      <c r="K85" s="1" t="s">
        <v>98</v>
      </c>
    </row>
    <row r="86" spans="1:11">
      <c r="A86" s="1" t="str">
        <f t="shared" si="9"/>
        <v/>
      </c>
      <c r="B86" s="1" t="str">
        <f t="shared" si="10"/>
        <v/>
      </c>
      <c r="C86" s="1" t="str">
        <f t="shared" si="11"/>
        <v/>
      </c>
      <c r="D86" s="1" t="str">
        <f t="shared" si="12"/>
        <v/>
      </c>
      <c r="G86" s="1" t="s">
        <v>232</v>
      </c>
      <c r="H86" s="1">
        <v>13.45</v>
      </c>
      <c r="I86" s="1" t="s">
        <v>32</v>
      </c>
      <c r="J86" s="13">
        <f t="shared" si="4"/>
        <v>13.45</v>
      </c>
      <c r="K86" s="1" t="s">
        <v>98</v>
      </c>
    </row>
    <row r="87" spans="1:11">
      <c r="A87" s="1" t="str">
        <f t="shared" si="9"/>
        <v/>
      </c>
      <c r="B87" s="1" t="str">
        <f t="shared" si="10"/>
        <v/>
      </c>
      <c r="C87" s="1" t="str">
        <f t="shared" si="11"/>
        <v/>
      </c>
      <c r="D87" s="1" t="str">
        <f t="shared" si="12"/>
        <v/>
      </c>
      <c r="G87" s="14" t="s">
        <v>233</v>
      </c>
      <c r="H87" s="1">
        <v>66</v>
      </c>
      <c r="I87" s="1" t="s">
        <v>32</v>
      </c>
      <c r="J87" s="13">
        <f t="shared" si="4"/>
        <v>66</v>
      </c>
      <c r="K87" s="1" t="s">
        <v>24</v>
      </c>
    </row>
    <row r="88" spans="1:11">
      <c r="A88" s="1" t="str">
        <f t="shared" si="9"/>
        <v/>
      </c>
      <c r="B88" s="1" t="str">
        <f t="shared" si="10"/>
        <v/>
      </c>
      <c r="C88" s="1" t="str">
        <f t="shared" si="11"/>
        <v/>
      </c>
      <c r="D88" s="1" t="str">
        <f t="shared" si="12"/>
        <v/>
      </c>
      <c r="G88" s="1" t="s">
        <v>86</v>
      </c>
      <c r="H88" s="1">
        <v>27.54</v>
      </c>
      <c r="I88" s="1" t="s">
        <v>32</v>
      </c>
      <c r="J88" s="13">
        <f t="shared" si="4"/>
        <v>27.54</v>
      </c>
      <c r="K88" s="1" t="s">
        <v>59</v>
      </c>
    </row>
    <row r="89" spans="1:11">
      <c r="A89" s="1" t="str">
        <f t="shared" si="9"/>
        <v/>
      </c>
      <c r="B89" s="1" t="str">
        <f t="shared" si="10"/>
        <v/>
      </c>
      <c r="C89" s="1" t="str">
        <f t="shared" si="11"/>
        <v/>
      </c>
      <c r="D89" s="1" t="str">
        <f t="shared" si="12"/>
        <v/>
      </c>
      <c r="G89" s="1" t="s">
        <v>84</v>
      </c>
      <c r="H89" s="1">
        <v>50.25</v>
      </c>
      <c r="I89" s="1" t="s">
        <v>32</v>
      </c>
      <c r="J89" s="13">
        <f t="shared" si="4"/>
        <v>50.25</v>
      </c>
      <c r="K89" s="1" t="s">
        <v>85</v>
      </c>
    </row>
    <row r="90" spans="1:11">
      <c r="A90" s="1" t="str">
        <f t="shared" si="9"/>
        <v/>
      </c>
      <c r="B90" s="1" t="str">
        <f t="shared" si="10"/>
        <v/>
      </c>
      <c r="C90" s="1" t="str">
        <f t="shared" si="11"/>
        <v/>
      </c>
      <c r="D90" s="1" t="str">
        <f t="shared" si="12"/>
        <v/>
      </c>
      <c r="G90" s="1" t="s">
        <v>87</v>
      </c>
      <c r="H90" s="1">
        <v>1.93</v>
      </c>
      <c r="I90" s="1" t="s">
        <v>32</v>
      </c>
      <c r="J90" s="13">
        <f t="shared" si="4"/>
        <v>1.93</v>
      </c>
      <c r="K90" s="1" t="s">
        <v>24</v>
      </c>
    </row>
    <row r="91" spans="1:11">
      <c r="A91" s="1" t="str">
        <f t="shared" si="9"/>
        <v/>
      </c>
      <c r="B91" s="1" t="str">
        <f t="shared" si="10"/>
        <v/>
      </c>
      <c r="C91" s="1" t="str">
        <f t="shared" si="11"/>
        <v/>
      </c>
      <c r="D91" s="1" t="str">
        <f t="shared" si="12"/>
        <v/>
      </c>
      <c r="G91" s="1" t="s">
        <v>234</v>
      </c>
      <c r="H91" s="1">
        <v>45</v>
      </c>
      <c r="I91" s="1" t="s">
        <v>32</v>
      </c>
      <c r="J91" s="13">
        <f t="shared" si="4"/>
        <v>45</v>
      </c>
      <c r="K91" s="1" t="s">
        <v>98</v>
      </c>
    </row>
    <row r="92" spans="1:11">
      <c r="A92" s="1" t="str">
        <f t="shared" si="9"/>
        <v/>
      </c>
      <c r="B92" s="1" t="str">
        <f t="shared" si="10"/>
        <v/>
      </c>
      <c r="C92" s="1" t="str">
        <f t="shared" si="11"/>
        <v/>
      </c>
      <c r="D92" s="1" t="str">
        <f t="shared" si="12"/>
        <v/>
      </c>
      <c r="G92" s="1" t="s">
        <v>235</v>
      </c>
      <c r="H92" s="1">
        <v>39</v>
      </c>
      <c r="I92" s="1" t="s">
        <v>32</v>
      </c>
      <c r="J92" s="13">
        <f t="shared" si="4"/>
        <v>39</v>
      </c>
      <c r="K92" s="1" t="s">
        <v>98</v>
      </c>
    </row>
    <row r="93" spans="1:11">
      <c r="A93" s="1" t="str">
        <f t="shared" si="9"/>
        <v/>
      </c>
      <c r="B93" s="1" t="str">
        <f t="shared" si="10"/>
        <v/>
      </c>
      <c r="C93" s="1" t="str">
        <f t="shared" si="11"/>
        <v/>
      </c>
      <c r="D93" s="1" t="str">
        <f t="shared" si="12"/>
        <v/>
      </c>
      <c r="G93" s="1" t="s">
        <v>236</v>
      </c>
      <c r="H93" s="1">
        <v>10</v>
      </c>
      <c r="I93" s="1" t="s">
        <v>32</v>
      </c>
      <c r="J93" s="13">
        <f t="shared" si="4"/>
        <v>10</v>
      </c>
      <c r="K93" s="1" t="s">
        <v>98</v>
      </c>
    </row>
    <row r="94" spans="1:11">
      <c r="A94" s="1" t="str">
        <f t="shared" si="9"/>
        <v/>
      </c>
      <c r="B94" s="1" t="str">
        <f t="shared" si="10"/>
        <v/>
      </c>
      <c r="C94" s="1" t="str">
        <f t="shared" si="11"/>
        <v/>
      </c>
      <c r="D94" s="1" t="str">
        <f t="shared" si="12"/>
        <v/>
      </c>
      <c r="G94" s="1" t="s">
        <v>152</v>
      </c>
      <c r="H94" s="1">
        <v>3.4</v>
      </c>
      <c r="I94" s="1" t="s">
        <v>32</v>
      </c>
      <c r="J94" s="13">
        <f t="shared" si="4"/>
        <v>3.4</v>
      </c>
      <c r="K94" s="1" t="s">
        <v>55</v>
      </c>
    </row>
    <row r="95" spans="1:11">
      <c r="A95" s="1" t="str">
        <f t="shared" si="9"/>
        <v/>
      </c>
      <c r="B95" s="1" t="str">
        <f t="shared" si="10"/>
        <v/>
      </c>
      <c r="C95" s="1" t="str">
        <f t="shared" si="11"/>
        <v/>
      </c>
      <c r="D95" s="1" t="str">
        <f t="shared" si="12"/>
        <v/>
      </c>
      <c r="G95" s="1" t="s">
        <v>62</v>
      </c>
      <c r="H95" s="1">
        <v>0.99</v>
      </c>
      <c r="I95" s="1" t="s">
        <v>32</v>
      </c>
      <c r="J95" s="13">
        <f t="shared" si="4"/>
        <v>0.99</v>
      </c>
      <c r="K95" s="1" t="s">
        <v>44</v>
      </c>
    </row>
    <row r="96" spans="1:11">
      <c r="A96" s="1" t="str">
        <f t="shared" si="9"/>
        <v/>
      </c>
      <c r="B96" s="1" t="str">
        <f t="shared" si="10"/>
        <v/>
      </c>
      <c r="C96" s="1" t="str">
        <f t="shared" si="11"/>
        <v/>
      </c>
      <c r="D96" s="1" t="str">
        <f t="shared" si="12"/>
        <v/>
      </c>
      <c r="G96" s="1" t="s">
        <v>237</v>
      </c>
      <c r="H96" s="1">
        <v>7.2</v>
      </c>
      <c r="I96" s="1" t="s">
        <v>32</v>
      </c>
      <c r="J96" s="13">
        <f t="shared" si="4"/>
        <v>7.2</v>
      </c>
      <c r="K96" s="1" t="s">
        <v>24</v>
      </c>
    </row>
    <row r="97" spans="1:11">
      <c r="A97" s="1" t="str">
        <f t="shared" si="9"/>
        <v/>
      </c>
      <c r="B97" s="1" t="str">
        <f t="shared" si="10"/>
        <v/>
      </c>
      <c r="C97" s="1" t="str">
        <f t="shared" si="11"/>
        <v/>
      </c>
      <c r="D97" s="1" t="str">
        <f t="shared" si="12"/>
        <v/>
      </c>
      <c r="G97" s="1" t="s">
        <v>115</v>
      </c>
      <c r="H97" s="1">
        <v>15.6</v>
      </c>
      <c r="I97" s="1" t="s">
        <v>32</v>
      </c>
      <c r="J97" s="13">
        <f t="shared" si="4"/>
        <v>15.6</v>
      </c>
      <c r="K97" s="1" t="s">
        <v>59</v>
      </c>
    </row>
    <row r="98" spans="1:11">
      <c r="A98" s="1" t="str">
        <f t="shared" si="9"/>
        <v/>
      </c>
      <c r="B98" s="1" t="str">
        <f t="shared" si="10"/>
        <v/>
      </c>
      <c r="C98" s="1" t="str">
        <f t="shared" si="11"/>
        <v/>
      </c>
      <c r="D98" s="1" t="str">
        <f t="shared" si="12"/>
        <v/>
      </c>
      <c r="G98" s="1" t="s">
        <v>238</v>
      </c>
      <c r="H98" s="1">
        <v>16.989999999999998</v>
      </c>
      <c r="I98" s="1" t="s">
        <v>32</v>
      </c>
      <c r="J98" s="13">
        <f t="shared" si="4"/>
        <v>16.989999999999998</v>
      </c>
      <c r="K98" s="1" t="s">
        <v>59</v>
      </c>
    </row>
    <row r="99" spans="1:11">
      <c r="A99" s="1" t="str">
        <f t="shared" si="9"/>
        <v/>
      </c>
      <c r="B99" s="1" t="str">
        <f t="shared" si="10"/>
        <v/>
      </c>
      <c r="C99" s="1" t="str">
        <f t="shared" si="11"/>
        <v/>
      </c>
      <c r="D99" s="1" t="str">
        <f t="shared" si="12"/>
        <v/>
      </c>
      <c r="G99" s="1" t="s">
        <v>239</v>
      </c>
      <c r="H99" s="1">
        <v>24.2</v>
      </c>
      <c r="I99" s="1" t="s">
        <v>32</v>
      </c>
      <c r="J99" s="13">
        <f t="shared" si="4"/>
        <v>24.2</v>
      </c>
      <c r="K99" s="1" t="s">
        <v>24</v>
      </c>
    </row>
    <row r="100" spans="1:11">
      <c r="A100" s="1" t="str">
        <f t="shared" si="9"/>
        <v/>
      </c>
      <c r="B100" s="1" t="str">
        <f t="shared" si="10"/>
        <v/>
      </c>
      <c r="C100" s="1" t="str">
        <f t="shared" si="11"/>
        <v/>
      </c>
      <c r="D100" s="1" t="str">
        <f t="shared" si="12"/>
        <v/>
      </c>
      <c r="G100" s="1" t="s">
        <v>240</v>
      </c>
      <c r="H100" s="1">
        <v>36.28</v>
      </c>
      <c r="I100" s="1" t="s">
        <v>32</v>
      </c>
      <c r="J100" s="13">
        <f t="shared" si="4"/>
        <v>36.28</v>
      </c>
      <c r="K100" s="1" t="s">
        <v>98</v>
      </c>
    </row>
    <row r="101" spans="1:11">
      <c r="A101" s="1" t="str">
        <f t="shared" si="9"/>
        <v/>
      </c>
      <c r="B101" s="1" t="str">
        <f t="shared" si="10"/>
        <v/>
      </c>
      <c r="C101" s="1" t="str">
        <f t="shared" si="11"/>
        <v/>
      </c>
      <c r="D101" s="1" t="str">
        <f t="shared" si="12"/>
        <v/>
      </c>
      <c r="G101" s="1" t="s">
        <v>82</v>
      </c>
      <c r="H101" s="1">
        <v>26.09</v>
      </c>
      <c r="I101" s="1" t="s">
        <v>32</v>
      </c>
      <c r="J101" s="13">
        <f t="shared" si="4"/>
        <v>26.09</v>
      </c>
      <c r="K101" s="1" t="s">
        <v>83</v>
      </c>
    </row>
    <row r="102" spans="1:11">
      <c r="A102" s="1" t="str">
        <f t="shared" si="9"/>
        <v/>
      </c>
      <c r="B102" s="1" t="str">
        <f t="shared" si="10"/>
        <v/>
      </c>
      <c r="C102" s="1" t="str">
        <f t="shared" si="11"/>
        <v/>
      </c>
      <c r="D102" s="1" t="str">
        <f t="shared" si="12"/>
        <v/>
      </c>
      <c r="G102" s="1" t="s">
        <v>238</v>
      </c>
      <c r="H102" s="1">
        <v>2.99</v>
      </c>
      <c r="I102" s="1" t="s">
        <v>32</v>
      </c>
      <c r="J102" s="13">
        <f t="shared" si="4"/>
        <v>2.99</v>
      </c>
      <c r="K102" s="1" t="s">
        <v>44</v>
      </c>
    </row>
    <row r="103" spans="1:11">
      <c r="A103" s="1" t="str">
        <f t="shared" si="9"/>
        <v/>
      </c>
      <c r="B103" s="1" t="str">
        <f t="shared" si="10"/>
        <v/>
      </c>
      <c r="C103" s="1" t="str">
        <f t="shared" si="11"/>
        <v/>
      </c>
      <c r="D103" s="1" t="str">
        <f t="shared" si="12"/>
        <v/>
      </c>
      <c r="G103" s="1" t="s">
        <v>238</v>
      </c>
      <c r="H103" s="1">
        <v>3.99</v>
      </c>
      <c r="I103" s="1" t="s">
        <v>32</v>
      </c>
      <c r="J103" s="13">
        <f t="shared" si="4"/>
        <v>3.99</v>
      </c>
      <c r="K103" s="1" t="s">
        <v>44</v>
      </c>
    </row>
    <row r="104" spans="1:11">
      <c r="A104" s="1" t="str">
        <f t="shared" si="9"/>
        <v/>
      </c>
      <c r="B104" s="1" t="str">
        <f t="shared" si="10"/>
        <v/>
      </c>
      <c r="C104" s="1" t="str">
        <f t="shared" si="11"/>
        <v/>
      </c>
      <c r="D104" s="1" t="str">
        <f t="shared" si="12"/>
        <v/>
      </c>
      <c r="G104" s="1" t="s">
        <v>238</v>
      </c>
      <c r="H104" s="1">
        <v>3.99</v>
      </c>
      <c r="I104" s="1" t="s">
        <v>32</v>
      </c>
      <c r="J104" s="13">
        <f t="shared" si="4"/>
        <v>3.99</v>
      </c>
      <c r="K104" s="1" t="s">
        <v>44</v>
      </c>
    </row>
    <row r="105" spans="1:11">
      <c r="A105" s="1" t="str">
        <f t="shared" si="9"/>
        <v/>
      </c>
      <c r="B105" s="1" t="str">
        <f t="shared" si="10"/>
        <v/>
      </c>
      <c r="C105" s="1" t="str">
        <f t="shared" si="11"/>
        <v/>
      </c>
      <c r="D105" s="1" t="str">
        <f t="shared" si="12"/>
        <v/>
      </c>
      <c r="G105" s="1" t="s">
        <v>238</v>
      </c>
      <c r="H105" s="1">
        <v>5.99</v>
      </c>
      <c r="I105" s="1" t="s">
        <v>32</v>
      </c>
      <c r="J105" s="13">
        <f t="shared" si="4"/>
        <v>5.99</v>
      </c>
      <c r="K105" s="1" t="s">
        <v>44</v>
      </c>
    </row>
    <row r="106" spans="1:11">
      <c r="A106" s="1" t="str">
        <f t="shared" si="9"/>
        <v/>
      </c>
      <c r="B106" s="1" t="str">
        <f t="shared" si="10"/>
        <v/>
      </c>
      <c r="C106" s="1" t="str">
        <f t="shared" si="11"/>
        <v/>
      </c>
      <c r="D106" s="1" t="str">
        <f t="shared" si="12"/>
        <v/>
      </c>
      <c r="G106" s="1" t="s">
        <v>238</v>
      </c>
      <c r="H106" s="1">
        <v>5.99</v>
      </c>
      <c r="I106" s="1" t="s">
        <v>32</v>
      </c>
      <c r="J106" s="13">
        <f t="shared" si="4"/>
        <v>5.99</v>
      </c>
      <c r="K106" s="1" t="s">
        <v>44</v>
      </c>
    </row>
    <row r="107" spans="1:11">
      <c r="A107" s="1" t="str">
        <f t="shared" si="9"/>
        <v/>
      </c>
      <c r="B107" s="1" t="str">
        <f t="shared" si="10"/>
        <v/>
      </c>
      <c r="C107" s="1" t="str">
        <f t="shared" si="11"/>
        <v/>
      </c>
      <c r="D107" s="1" t="str">
        <f t="shared" si="12"/>
        <v/>
      </c>
      <c r="G107" s="1" t="s">
        <v>241</v>
      </c>
      <c r="H107" s="1">
        <v>21.65</v>
      </c>
      <c r="I107" s="1" t="s">
        <v>32</v>
      </c>
      <c r="J107" s="13">
        <f t="shared" si="4"/>
        <v>21.65</v>
      </c>
      <c r="K107" s="1" t="s">
        <v>98</v>
      </c>
    </row>
    <row r="108" spans="1:11">
      <c r="A108" s="1" t="str">
        <f t="shared" si="9"/>
        <v/>
      </c>
      <c r="B108" s="1" t="str">
        <f t="shared" si="10"/>
        <v/>
      </c>
      <c r="C108" s="1" t="str">
        <f t="shared" si="11"/>
        <v/>
      </c>
      <c r="D108" s="1" t="str">
        <f t="shared" si="12"/>
        <v/>
      </c>
      <c r="G108" s="1" t="s">
        <v>92</v>
      </c>
      <c r="H108" s="1">
        <v>40.22</v>
      </c>
      <c r="I108" s="1" t="s">
        <v>32</v>
      </c>
      <c r="J108" s="13">
        <f t="shared" si="4"/>
        <v>40.22</v>
      </c>
      <c r="K108" s="1" t="s">
        <v>24</v>
      </c>
    </row>
    <row r="109" spans="1:11">
      <c r="A109" s="1" t="str">
        <f t="shared" si="9"/>
        <v/>
      </c>
      <c r="B109" s="1" t="str">
        <f t="shared" si="10"/>
        <v/>
      </c>
      <c r="C109" s="1" t="str">
        <f t="shared" si="11"/>
        <v/>
      </c>
      <c r="D109" s="1" t="str">
        <f t="shared" si="12"/>
        <v/>
      </c>
      <c r="G109" s="1" t="s">
        <v>242</v>
      </c>
      <c r="H109" s="1">
        <v>29.5</v>
      </c>
      <c r="I109" s="1" t="s">
        <v>32</v>
      </c>
      <c r="J109" s="13">
        <f t="shared" si="4"/>
        <v>29.5</v>
      </c>
      <c r="K109" s="1" t="s">
        <v>29</v>
      </c>
    </row>
    <row r="110" spans="1:11">
      <c r="A110" s="1" t="str">
        <f t="shared" si="9"/>
        <v/>
      </c>
      <c r="B110" s="1" t="str">
        <f t="shared" si="10"/>
        <v/>
      </c>
      <c r="C110" s="1" t="str">
        <f t="shared" si="11"/>
        <v/>
      </c>
      <c r="D110" s="1" t="str">
        <f t="shared" si="12"/>
        <v/>
      </c>
      <c r="G110" s="1" t="s">
        <v>243</v>
      </c>
      <c r="H110" s="1">
        <v>28.11</v>
      </c>
      <c r="I110" s="1" t="s">
        <v>32</v>
      </c>
      <c r="J110" s="13">
        <f t="shared" si="4"/>
        <v>28.11</v>
      </c>
      <c r="K110" s="1" t="s">
        <v>24</v>
      </c>
    </row>
    <row r="111" spans="1:11">
      <c r="A111" s="1" t="str">
        <f t="shared" si="9"/>
        <v/>
      </c>
      <c r="B111" s="1" t="str">
        <f t="shared" si="10"/>
        <v/>
      </c>
      <c r="C111" s="1" t="str">
        <f t="shared" si="11"/>
        <v/>
      </c>
      <c r="D111" s="1" t="str">
        <f t="shared" si="12"/>
        <v/>
      </c>
      <c r="G111" s="1" t="s">
        <v>244</v>
      </c>
      <c r="H111" s="1">
        <v>3.8</v>
      </c>
      <c r="I111" s="1" t="s">
        <v>32</v>
      </c>
      <c r="J111" s="13">
        <f t="shared" si="4"/>
        <v>3.8</v>
      </c>
      <c r="K111" s="1" t="s">
        <v>55</v>
      </c>
    </row>
    <row r="112" spans="1:11">
      <c r="A112" s="1" t="str">
        <f t="shared" si="9"/>
        <v/>
      </c>
      <c r="B112" s="1" t="str">
        <f t="shared" si="10"/>
        <v/>
      </c>
      <c r="C112" s="1" t="str">
        <f t="shared" si="11"/>
        <v/>
      </c>
      <c r="D112" s="1" t="str">
        <f t="shared" si="12"/>
        <v/>
      </c>
      <c r="G112" s="1" t="s">
        <v>245</v>
      </c>
      <c r="H112" s="1">
        <v>16</v>
      </c>
      <c r="I112" s="1" t="s">
        <v>32</v>
      </c>
      <c r="J112" s="13">
        <f t="shared" si="4"/>
        <v>16</v>
      </c>
      <c r="K112" s="1" t="s">
        <v>98</v>
      </c>
    </row>
    <row r="113" spans="1:11">
      <c r="A113" s="1" t="str">
        <f t="shared" si="9"/>
        <v/>
      </c>
      <c r="B113" s="1" t="str">
        <f t="shared" si="10"/>
        <v/>
      </c>
      <c r="C113" s="1" t="str">
        <f t="shared" si="11"/>
        <v/>
      </c>
      <c r="D113" s="1" t="str">
        <f t="shared" si="12"/>
        <v/>
      </c>
      <c r="G113" s="1" t="s">
        <v>246</v>
      </c>
      <c r="H113" s="1">
        <v>1</v>
      </c>
      <c r="I113" s="1" t="s">
        <v>32</v>
      </c>
      <c r="J113" s="13">
        <f t="shared" si="4"/>
        <v>1</v>
      </c>
      <c r="K113" s="1" t="s">
        <v>59</v>
      </c>
    </row>
    <row r="114" spans="1:11">
      <c r="A114" s="1" t="str">
        <f t="shared" si="9"/>
        <v/>
      </c>
      <c r="B114" s="1" t="str">
        <f t="shared" si="10"/>
        <v/>
      </c>
      <c r="C114" s="1" t="str">
        <f t="shared" si="11"/>
        <v/>
      </c>
      <c r="D114" s="1" t="str">
        <f t="shared" si="12"/>
        <v/>
      </c>
      <c r="G114" s="1" t="s">
        <v>238</v>
      </c>
      <c r="H114" s="1">
        <v>3.99</v>
      </c>
      <c r="I114" s="1" t="s">
        <v>32</v>
      </c>
      <c r="J114" s="13">
        <f t="shared" si="4"/>
        <v>3.99</v>
      </c>
      <c r="K114" s="1" t="s">
        <v>44</v>
      </c>
    </row>
    <row r="115" spans="1:11">
      <c r="A115" s="1" t="str">
        <f t="shared" si="9"/>
        <v/>
      </c>
      <c r="B115" s="1" t="str">
        <f t="shared" si="10"/>
        <v/>
      </c>
      <c r="C115" s="1" t="str">
        <f t="shared" si="11"/>
        <v/>
      </c>
      <c r="D115" s="1" t="str">
        <f t="shared" si="12"/>
        <v/>
      </c>
      <c r="G115" s="1" t="s">
        <v>238</v>
      </c>
      <c r="H115" s="1">
        <v>3.99</v>
      </c>
      <c r="I115" s="1" t="s">
        <v>32</v>
      </c>
      <c r="J115" s="13">
        <f t="shared" si="4"/>
        <v>3.99</v>
      </c>
      <c r="K115" s="1" t="s">
        <v>44</v>
      </c>
    </row>
    <row r="116" spans="1:11">
      <c r="A116" s="1" t="str">
        <f t="shared" si="9"/>
        <v/>
      </c>
      <c r="B116" s="1" t="str">
        <f t="shared" si="10"/>
        <v/>
      </c>
      <c r="C116" s="1" t="str">
        <f t="shared" si="11"/>
        <v/>
      </c>
      <c r="D116" s="1" t="str">
        <f t="shared" si="12"/>
        <v/>
      </c>
      <c r="G116" s="1" t="s">
        <v>238</v>
      </c>
      <c r="H116" s="1">
        <v>5.99</v>
      </c>
      <c r="I116" s="1" t="s">
        <v>32</v>
      </c>
      <c r="J116" s="13">
        <f t="shared" si="4"/>
        <v>5.99</v>
      </c>
      <c r="K116" s="1" t="s">
        <v>44</v>
      </c>
    </row>
    <row r="117" spans="1:11">
      <c r="A117" s="1" t="str">
        <f t="shared" si="9"/>
        <v/>
      </c>
      <c r="B117" s="1" t="str">
        <f t="shared" si="10"/>
        <v/>
      </c>
      <c r="C117" s="1" t="str">
        <f t="shared" si="11"/>
        <v/>
      </c>
      <c r="D117" s="1" t="str">
        <f t="shared" si="12"/>
        <v/>
      </c>
      <c r="G117" s="1" t="s">
        <v>238</v>
      </c>
      <c r="H117" s="1">
        <v>6.99</v>
      </c>
      <c r="I117" s="1" t="s">
        <v>32</v>
      </c>
      <c r="J117" s="13">
        <f t="shared" si="4"/>
        <v>6.99</v>
      </c>
      <c r="K117" s="1" t="s">
        <v>44</v>
      </c>
    </row>
    <row r="118" spans="1:11">
      <c r="A118" s="1" t="str">
        <f t="shared" si="9"/>
        <v/>
      </c>
      <c r="B118" s="1" t="str">
        <f t="shared" si="10"/>
        <v/>
      </c>
      <c r="C118" s="1" t="str">
        <f t="shared" si="11"/>
        <v/>
      </c>
      <c r="D118" s="1" t="str">
        <f t="shared" si="12"/>
        <v/>
      </c>
      <c r="G118" s="1" t="s">
        <v>238</v>
      </c>
      <c r="H118" s="1">
        <v>6.99</v>
      </c>
      <c r="I118" s="1" t="s">
        <v>32</v>
      </c>
      <c r="J118" s="13">
        <f t="shared" si="4"/>
        <v>6.99</v>
      </c>
      <c r="K118" s="1" t="s">
        <v>44</v>
      </c>
    </row>
    <row r="119" spans="1:11">
      <c r="A119" s="1" t="str">
        <f t="shared" si="9"/>
        <v/>
      </c>
      <c r="B119" s="1" t="str">
        <f t="shared" si="10"/>
        <v/>
      </c>
      <c r="C119" s="1" t="str">
        <f t="shared" si="11"/>
        <v/>
      </c>
      <c r="D119" s="1" t="str">
        <f t="shared" si="12"/>
        <v/>
      </c>
      <c r="G119" s="1" t="s">
        <v>238</v>
      </c>
      <c r="H119" s="1">
        <v>6.99</v>
      </c>
      <c r="I119" s="1" t="s">
        <v>32</v>
      </c>
      <c r="J119" s="13">
        <f t="shared" si="4"/>
        <v>6.99</v>
      </c>
      <c r="K119" s="1" t="s">
        <v>44</v>
      </c>
    </row>
    <row r="120" spans="1:11">
      <c r="A120" s="1" t="str">
        <f t="shared" si="9"/>
        <v/>
      </c>
      <c r="B120" s="1" t="str">
        <f t="shared" si="10"/>
        <v/>
      </c>
      <c r="C120" s="1" t="str">
        <f t="shared" si="11"/>
        <v/>
      </c>
      <c r="D120" s="1" t="str">
        <f t="shared" si="12"/>
        <v/>
      </c>
      <c r="G120" s="1" t="s">
        <v>238</v>
      </c>
      <c r="H120" s="1">
        <v>6.99</v>
      </c>
      <c r="I120" s="1" t="s">
        <v>32</v>
      </c>
      <c r="J120" s="13">
        <f t="shared" si="4"/>
        <v>6.99</v>
      </c>
      <c r="K120" s="1" t="s">
        <v>44</v>
      </c>
    </row>
    <row r="121" spans="1:11">
      <c r="A121" s="1" t="str">
        <f t="shared" si="9"/>
        <v/>
      </c>
      <c r="B121" s="1" t="str">
        <f t="shared" si="10"/>
        <v/>
      </c>
      <c r="C121" s="1" t="str">
        <f t="shared" si="11"/>
        <v/>
      </c>
      <c r="D121" s="1" t="str">
        <f t="shared" si="12"/>
        <v/>
      </c>
      <c r="G121" s="1" t="s">
        <v>247</v>
      </c>
      <c r="H121" s="1">
        <v>88.6</v>
      </c>
      <c r="I121" s="1" t="s">
        <v>32</v>
      </c>
      <c r="J121" s="13">
        <f t="shared" si="4"/>
        <v>88.6</v>
      </c>
      <c r="K121" s="1" t="s">
        <v>55</v>
      </c>
    </row>
    <row r="122" spans="1:11">
      <c r="A122" s="1" t="str">
        <f t="shared" si="9"/>
        <v/>
      </c>
      <c r="B122" s="1" t="str">
        <f t="shared" si="10"/>
        <v/>
      </c>
      <c r="C122" s="1" t="str">
        <f t="shared" si="11"/>
        <v/>
      </c>
      <c r="D122" s="1" t="str">
        <f t="shared" si="12"/>
        <v/>
      </c>
      <c r="G122" s="1" t="s">
        <v>82</v>
      </c>
      <c r="H122" s="1">
        <v>19.329999999999998</v>
      </c>
      <c r="I122" s="1" t="s">
        <v>32</v>
      </c>
      <c r="J122" s="13">
        <f t="shared" si="4"/>
        <v>19.329999999999998</v>
      </c>
      <c r="K122" s="1" t="s">
        <v>83</v>
      </c>
    </row>
    <row r="123" spans="1:11">
      <c r="A123" s="1" t="str">
        <f t="shared" si="9"/>
        <v/>
      </c>
      <c r="B123" s="1" t="str">
        <f t="shared" si="10"/>
        <v/>
      </c>
      <c r="C123" s="1" t="str">
        <f t="shared" si="11"/>
        <v/>
      </c>
      <c r="D123" s="1" t="str">
        <f t="shared" si="12"/>
        <v/>
      </c>
      <c r="G123" s="1" t="s">
        <v>248</v>
      </c>
      <c r="H123" s="1">
        <v>11</v>
      </c>
      <c r="I123" s="1" t="s">
        <v>32</v>
      </c>
      <c r="J123" s="13">
        <f t="shared" si="4"/>
        <v>11</v>
      </c>
      <c r="K123" s="1" t="s">
        <v>24</v>
      </c>
    </row>
    <row r="124" spans="1:11">
      <c r="A124" s="1" t="str">
        <f t="shared" si="9"/>
        <v/>
      </c>
      <c r="B124" s="1" t="str">
        <f t="shared" si="10"/>
        <v/>
      </c>
      <c r="C124" s="1" t="str">
        <f t="shared" si="11"/>
        <v/>
      </c>
      <c r="D124" s="1" t="str">
        <f t="shared" si="12"/>
        <v/>
      </c>
      <c r="G124" s="1" t="s">
        <v>239</v>
      </c>
      <c r="H124" s="1">
        <v>32.6</v>
      </c>
      <c r="I124" s="1" t="s">
        <v>32</v>
      </c>
      <c r="J124" s="13">
        <f t="shared" si="4"/>
        <v>32.6</v>
      </c>
      <c r="K124" s="1" t="s">
        <v>24</v>
      </c>
    </row>
    <row r="125" spans="1:11">
      <c r="A125" s="1" t="str">
        <f t="shared" si="9"/>
        <v/>
      </c>
      <c r="B125" s="1" t="str">
        <f t="shared" si="10"/>
        <v/>
      </c>
      <c r="C125" s="1" t="str">
        <f t="shared" si="11"/>
        <v/>
      </c>
      <c r="D125" s="1" t="str">
        <f t="shared" si="12"/>
        <v/>
      </c>
      <c r="G125" s="1" t="s">
        <v>87</v>
      </c>
      <c r="H125" s="1">
        <v>20.77</v>
      </c>
      <c r="I125" s="1" t="s">
        <v>32</v>
      </c>
      <c r="J125" s="13">
        <f t="shared" si="4"/>
        <v>20.77</v>
      </c>
      <c r="K125" s="1" t="s">
        <v>24</v>
      </c>
    </row>
    <row r="126" spans="1:11">
      <c r="A126" s="1" t="str">
        <f t="shared" si="9"/>
        <v/>
      </c>
      <c r="B126" s="1" t="str">
        <f t="shared" si="10"/>
        <v/>
      </c>
      <c r="C126" s="1" t="str">
        <f t="shared" si="11"/>
        <v/>
      </c>
      <c r="D126" s="1" t="str">
        <f t="shared" si="12"/>
        <v/>
      </c>
      <c r="G126" s="1" t="s">
        <v>87</v>
      </c>
      <c r="H126" s="1">
        <v>34.42</v>
      </c>
      <c r="I126" s="1" t="s">
        <v>32</v>
      </c>
      <c r="J126" s="13">
        <f t="shared" si="4"/>
        <v>34.42</v>
      </c>
      <c r="K126" s="1" t="s">
        <v>24</v>
      </c>
    </row>
    <row r="127" spans="1:11">
      <c r="A127" s="1" t="str">
        <f t="shared" si="9"/>
        <v/>
      </c>
      <c r="B127" s="1" t="str">
        <f t="shared" si="10"/>
        <v/>
      </c>
      <c r="C127" s="1" t="str">
        <f t="shared" si="11"/>
        <v/>
      </c>
      <c r="D127" s="1" t="str">
        <f t="shared" si="12"/>
        <v/>
      </c>
      <c r="G127" s="1" t="s">
        <v>249</v>
      </c>
      <c r="H127" s="1">
        <v>49.9</v>
      </c>
      <c r="I127" s="1" t="s">
        <v>32</v>
      </c>
      <c r="J127" s="13">
        <f t="shared" si="4"/>
        <v>49.9</v>
      </c>
      <c r="K127" s="1" t="s">
        <v>29</v>
      </c>
    </row>
    <row r="128" spans="1:11">
      <c r="A128" s="1" t="str">
        <f t="shared" si="9"/>
        <v/>
      </c>
      <c r="B128" s="1" t="str">
        <f t="shared" si="10"/>
        <v/>
      </c>
      <c r="C128" s="1" t="str">
        <f t="shared" si="11"/>
        <v/>
      </c>
      <c r="D128" s="1" t="str">
        <f t="shared" si="12"/>
        <v/>
      </c>
      <c r="G128" s="1" t="s">
        <v>141</v>
      </c>
      <c r="H128" s="1">
        <v>29.45</v>
      </c>
      <c r="I128" s="1" t="s">
        <v>32</v>
      </c>
      <c r="J128" s="13">
        <f t="shared" si="4"/>
        <v>29.45</v>
      </c>
      <c r="K128" s="1" t="s">
        <v>24</v>
      </c>
    </row>
    <row r="129" spans="1:11">
      <c r="A129" s="1" t="str">
        <f t="shared" si="9"/>
        <v/>
      </c>
      <c r="B129" s="1" t="str">
        <f t="shared" si="10"/>
        <v/>
      </c>
      <c r="C129" s="1" t="str">
        <f t="shared" si="11"/>
        <v/>
      </c>
      <c r="D129" s="1" t="str">
        <f t="shared" si="12"/>
        <v/>
      </c>
      <c r="G129" s="1" t="s">
        <v>87</v>
      </c>
      <c r="H129" s="1">
        <v>4.62</v>
      </c>
      <c r="I129" s="1" t="s">
        <v>32</v>
      </c>
      <c r="J129" s="13">
        <f t="shared" si="4"/>
        <v>4.62</v>
      </c>
      <c r="K129" s="1" t="s">
        <v>24</v>
      </c>
    </row>
    <row r="130" spans="1:11">
      <c r="A130" s="1" t="str">
        <f t="shared" si="9"/>
        <v/>
      </c>
      <c r="B130" s="1" t="str">
        <f t="shared" si="10"/>
        <v/>
      </c>
      <c r="C130" s="1" t="str">
        <f t="shared" si="11"/>
        <v/>
      </c>
      <c r="D130" s="1" t="str">
        <f t="shared" si="12"/>
        <v/>
      </c>
      <c r="G130" s="1" t="s">
        <v>111</v>
      </c>
      <c r="H130" s="1">
        <v>6.4</v>
      </c>
      <c r="I130" s="1" t="s">
        <v>32</v>
      </c>
      <c r="J130" s="13">
        <f t="shared" si="4"/>
        <v>6.4</v>
      </c>
      <c r="K130" s="1" t="s">
        <v>24</v>
      </c>
    </row>
    <row r="131" spans="1:11">
      <c r="A131" s="1" t="str">
        <f t="shared" si="9"/>
        <v/>
      </c>
      <c r="B131" s="1" t="str">
        <f t="shared" si="10"/>
        <v/>
      </c>
      <c r="C131" s="1" t="str">
        <f t="shared" si="11"/>
        <v/>
      </c>
      <c r="D131" s="1" t="str">
        <f t="shared" si="12"/>
        <v/>
      </c>
      <c r="G131" s="1" t="s">
        <v>87</v>
      </c>
      <c r="H131" s="1">
        <v>43.53</v>
      </c>
      <c r="I131" s="1" t="s">
        <v>32</v>
      </c>
      <c r="J131" s="13">
        <f t="shared" si="4"/>
        <v>43.53</v>
      </c>
      <c r="K131" s="1" t="s">
        <v>24</v>
      </c>
    </row>
    <row r="132" spans="1:11">
      <c r="A132" s="1" t="str">
        <f t="shared" si="9"/>
        <v/>
      </c>
      <c r="B132" s="1" t="str">
        <f t="shared" si="10"/>
        <v/>
      </c>
      <c r="C132" s="1" t="str">
        <f t="shared" si="11"/>
        <v/>
      </c>
      <c r="D132" s="1" t="str">
        <f t="shared" si="12"/>
        <v/>
      </c>
      <c r="G132" s="1" t="s">
        <v>250</v>
      </c>
      <c r="H132" s="1">
        <v>25</v>
      </c>
      <c r="I132" s="1" t="s">
        <v>32</v>
      </c>
      <c r="J132" s="13">
        <f t="shared" si="4"/>
        <v>25</v>
      </c>
      <c r="K132" s="1" t="s">
        <v>89</v>
      </c>
    </row>
    <row r="133" spans="1:11">
      <c r="A133" s="1" t="str">
        <f t="shared" si="9"/>
        <v/>
      </c>
      <c r="B133" s="1" t="str">
        <f t="shared" si="10"/>
        <v/>
      </c>
      <c r="C133" s="1" t="str">
        <f t="shared" si="11"/>
        <v/>
      </c>
      <c r="D133" s="1" t="str">
        <f t="shared" si="12"/>
        <v/>
      </c>
      <c r="G133" s="1" t="s">
        <v>251</v>
      </c>
      <c r="H133" s="1">
        <v>70</v>
      </c>
      <c r="I133" s="1" t="s">
        <v>32</v>
      </c>
      <c r="J133" s="13">
        <f t="shared" si="4"/>
        <v>70</v>
      </c>
      <c r="K133" s="1" t="s">
        <v>198</v>
      </c>
    </row>
    <row r="134" spans="1:11">
      <c r="A134" s="1" t="str">
        <f t="shared" si="9"/>
        <v/>
      </c>
      <c r="B134" s="1" t="str">
        <f t="shared" si="10"/>
        <v/>
      </c>
      <c r="C134" s="1" t="str">
        <f t="shared" si="11"/>
        <v/>
      </c>
      <c r="D134" s="1" t="str">
        <f t="shared" si="12"/>
        <v/>
      </c>
      <c r="G134" s="1" t="s">
        <v>111</v>
      </c>
      <c r="H134" s="1">
        <v>11.4</v>
      </c>
      <c r="I134" s="1" t="s">
        <v>32</v>
      </c>
      <c r="J134" s="13">
        <f t="shared" si="4"/>
        <v>11.4</v>
      </c>
      <c r="K134" s="1" t="s">
        <v>24</v>
      </c>
    </row>
    <row r="135" spans="1:11">
      <c r="A135" s="1" t="str">
        <f t="shared" si="9"/>
        <v/>
      </c>
      <c r="B135" s="1" t="str">
        <f t="shared" si="10"/>
        <v/>
      </c>
      <c r="C135" s="1" t="str">
        <f t="shared" si="11"/>
        <v/>
      </c>
      <c r="D135" s="1" t="str">
        <f t="shared" si="12"/>
        <v/>
      </c>
      <c r="G135" s="1" t="s">
        <v>181</v>
      </c>
      <c r="H135" s="1">
        <v>11.05</v>
      </c>
      <c r="I135" s="1" t="s">
        <v>32</v>
      </c>
      <c r="J135" s="13">
        <f t="shared" si="4"/>
        <v>11.05</v>
      </c>
      <c r="K135" s="1" t="s">
        <v>24</v>
      </c>
    </row>
    <row r="136" spans="1:11">
      <c r="A136" s="1" t="str">
        <f t="shared" si="9"/>
        <v/>
      </c>
      <c r="B136" s="1" t="str">
        <f t="shared" si="10"/>
        <v/>
      </c>
      <c r="C136" s="1" t="str">
        <f t="shared" si="11"/>
        <v/>
      </c>
      <c r="D136" s="1" t="str">
        <f t="shared" si="12"/>
        <v/>
      </c>
      <c r="G136" s="1" t="s">
        <v>252</v>
      </c>
      <c r="H136" s="1">
        <v>1</v>
      </c>
      <c r="I136" s="1" t="s">
        <v>32</v>
      </c>
      <c r="J136" s="13">
        <f t="shared" si="4"/>
        <v>1</v>
      </c>
      <c r="K136" s="1" t="s">
        <v>44</v>
      </c>
    </row>
    <row r="137" spans="1:11">
      <c r="A137" s="1" t="str">
        <f t="shared" si="9"/>
        <v/>
      </c>
      <c r="B137" s="1" t="str">
        <f t="shared" si="10"/>
        <v/>
      </c>
      <c r="C137" s="1" t="str">
        <f t="shared" si="11"/>
        <v/>
      </c>
      <c r="D137" s="1" t="str">
        <f t="shared" si="12"/>
        <v/>
      </c>
      <c r="G137" s="1" t="s">
        <v>126</v>
      </c>
      <c r="H137" s="1">
        <v>9</v>
      </c>
      <c r="I137" s="1" t="s">
        <v>32</v>
      </c>
      <c r="J137" s="13">
        <f t="shared" si="4"/>
        <v>9</v>
      </c>
      <c r="K137" s="1" t="s">
        <v>55</v>
      </c>
    </row>
    <row r="138" spans="1:11">
      <c r="A138" s="1" t="str">
        <f t="shared" si="9"/>
        <v/>
      </c>
      <c r="B138" s="1" t="str">
        <f t="shared" si="10"/>
        <v/>
      </c>
      <c r="C138" s="1" t="str">
        <f t="shared" si="11"/>
        <v/>
      </c>
      <c r="D138" s="1" t="str">
        <f t="shared" si="12"/>
        <v/>
      </c>
      <c r="G138" s="1" t="s">
        <v>87</v>
      </c>
      <c r="H138" s="1">
        <v>18</v>
      </c>
      <c r="I138" s="1" t="s">
        <v>32</v>
      </c>
      <c r="J138" s="13">
        <f t="shared" si="4"/>
        <v>18</v>
      </c>
      <c r="K138" s="1" t="s">
        <v>24</v>
      </c>
    </row>
    <row r="139" spans="1:11">
      <c r="A139" s="1" t="str">
        <f t="shared" si="9"/>
        <v/>
      </c>
      <c r="B139" s="1" t="str">
        <f t="shared" si="10"/>
        <v/>
      </c>
      <c r="C139" s="1" t="str">
        <f t="shared" si="11"/>
        <v/>
      </c>
      <c r="D139" s="1" t="str">
        <f t="shared" si="12"/>
        <v/>
      </c>
      <c r="G139" s="1" t="s">
        <v>253</v>
      </c>
      <c r="H139" s="1">
        <v>90.49</v>
      </c>
      <c r="I139" s="1" t="s">
        <v>32</v>
      </c>
      <c r="J139" s="13">
        <f t="shared" si="4"/>
        <v>90.49</v>
      </c>
      <c r="K139" s="1" t="s">
        <v>24</v>
      </c>
    </row>
    <row r="140" spans="1:11">
      <c r="A140" s="1" t="str">
        <f t="shared" si="9"/>
        <v/>
      </c>
      <c r="B140" s="1" t="str">
        <f t="shared" si="10"/>
        <v/>
      </c>
      <c r="C140" s="1" t="str">
        <f t="shared" si="11"/>
        <v/>
      </c>
      <c r="D140" s="1" t="str">
        <f t="shared" si="12"/>
        <v/>
      </c>
      <c r="G140" s="1" t="s">
        <v>87</v>
      </c>
      <c r="H140" s="1">
        <v>71.58</v>
      </c>
      <c r="I140" s="1" t="s">
        <v>32</v>
      </c>
      <c r="J140" s="13">
        <f t="shared" si="4"/>
        <v>71.58</v>
      </c>
      <c r="K140" s="1" t="s">
        <v>24</v>
      </c>
    </row>
    <row r="141" spans="1:11">
      <c r="A141" s="1" t="str">
        <f t="shared" si="9"/>
        <v/>
      </c>
      <c r="B141" s="1" t="str">
        <f t="shared" si="10"/>
        <v/>
      </c>
      <c r="C141" s="1" t="str">
        <f t="shared" si="11"/>
        <v/>
      </c>
      <c r="D141" s="1" t="str">
        <f t="shared" si="12"/>
        <v/>
      </c>
      <c r="G141" s="1" t="s">
        <v>87</v>
      </c>
      <c r="H141" s="1">
        <v>6.47</v>
      </c>
      <c r="I141" s="1" t="s">
        <v>32</v>
      </c>
      <c r="J141" s="13">
        <f t="shared" si="4"/>
        <v>6.47</v>
      </c>
      <c r="K141" s="1" t="s">
        <v>24</v>
      </c>
    </row>
    <row r="142" spans="1:11">
      <c r="A142" s="1" t="str">
        <f t="shared" si="9"/>
        <v/>
      </c>
      <c r="B142" s="1" t="str">
        <f t="shared" si="10"/>
        <v/>
      </c>
      <c r="C142" s="1" t="str">
        <f t="shared" si="11"/>
        <v/>
      </c>
      <c r="D142" s="1" t="str">
        <f t="shared" si="12"/>
        <v/>
      </c>
      <c r="G142" s="1" t="s">
        <v>254</v>
      </c>
      <c r="H142" s="1">
        <v>26.95</v>
      </c>
      <c r="I142" s="1" t="s">
        <v>32</v>
      </c>
      <c r="J142" s="13">
        <f t="shared" si="4"/>
        <v>26.95</v>
      </c>
      <c r="K142" s="1" t="s">
        <v>26</v>
      </c>
    </row>
    <row r="143" spans="1:11">
      <c r="A143" s="1" t="str">
        <f t="shared" si="9"/>
        <v/>
      </c>
      <c r="B143" s="1" t="str">
        <f t="shared" si="10"/>
        <v/>
      </c>
      <c r="C143" s="1" t="str">
        <f t="shared" si="11"/>
        <v/>
      </c>
      <c r="D143" s="1" t="str">
        <f t="shared" si="12"/>
        <v/>
      </c>
      <c r="G143" s="1" t="s">
        <v>255</v>
      </c>
      <c r="H143" s="1">
        <v>6.6</v>
      </c>
      <c r="I143" s="1" t="s">
        <v>32</v>
      </c>
      <c r="J143" s="13">
        <f t="shared" si="4"/>
        <v>6.6</v>
      </c>
      <c r="K143" s="1" t="s">
        <v>24</v>
      </c>
    </row>
    <row r="144" spans="1:11">
      <c r="A144" s="1" t="str">
        <f t="shared" si="9"/>
        <v/>
      </c>
      <c r="B144" s="1" t="str">
        <f t="shared" si="10"/>
        <v/>
      </c>
      <c r="C144" s="1" t="str">
        <f t="shared" si="11"/>
        <v/>
      </c>
      <c r="D144" s="1" t="str">
        <f t="shared" si="12"/>
        <v/>
      </c>
      <c r="G144" s="1" t="s">
        <v>126</v>
      </c>
      <c r="H144" s="1">
        <v>9</v>
      </c>
      <c r="I144" s="1" t="s">
        <v>32</v>
      </c>
      <c r="J144" s="13">
        <f t="shared" si="4"/>
        <v>9</v>
      </c>
      <c r="K144" s="1" t="s">
        <v>55</v>
      </c>
    </row>
    <row r="145" spans="1:11">
      <c r="A145" s="1" t="str">
        <f t="shared" si="9"/>
        <v/>
      </c>
      <c r="B145" s="1" t="str">
        <f t="shared" si="10"/>
        <v/>
      </c>
      <c r="C145" s="1" t="str">
        <f t="shared" si="11"/>
        <v/>
      </c>
      <c r="D145" s="1" t="str">
        <f t="shared" si="12"/>
        <v/>
      </c>
      <c r="G145" s="1" t="s">
        <v>87</v>
      </c>
      <c r="H145" s="1">
        <v>42.43</v>
      </c>
      <c r="I145" s="1" t="s">
        <v>32</v>
      </c>
      <c r="J145" s="13">
        <f t="shared" si="4"/>
        <v>42.43</v>
      </c>
      <c r="K145" s="1" t="s">
        <v>24</v>
      </c>
    </row>
    <row r="146" spans="1:11">
      <c r="A146" s="1" t="str">
        <f t="shared" si="9"/>
        <v/>
      </c>
      <c r="B146" s="1" t="str">
        <f t="shared" si="10"/>
        <v/>
      </c>
      <c r="C146" s="1" t="str">
        <f t="shared" si="11"/>
        <v/>
      </c>
      <c r="D146" s="1" t="str">
        <f t="shared" si="12"/>
        <v/>
      </c>
      <c r="G146" s="1" t="s">
        <v>256</v>
      </c>
      <c r="H146" s="1">
        <v>30.9</v>
      </c>
      <c r="I146" s="1" t="s">
        <v>32</v>
      </c>
      <c r="J146" s="13">
        <f t="shared" si="4"/>
        <v>30.9</v>
      </c>
      <c r="K146" s="1" t="s">
        <v>89</v>
      </c>
    </row>
    <row r="147" spans="1:11">
      <c r="A147" s="1" t="str">
        <f t="shared" si="9"/>
        <v/>
      </c>
      <c r="B147" s="1" t="str">
        <f t="shared" si="10"/>
        <v/>
      </c>
      <c r="C147" s="1" t="str">
        <f t="shared" si="11"/>
        <v/>
      </c>
      <c r="D147" s="1" t="str">
        <f t="shared" si="12"/>
        <v/>
      </c>
      <c r="G147" s="1" t="s">
        <v>115</v>
      </c>
      <c r="H147" s="1">
        <v>13</v>
      </c>
      <c r="I147" s="1" t="s">
        <v>32</v>
      </c>
      <c r="J147" s="13">
        <f t="shared" si="4"/>
        <v>13</v>
      </c>
      <c r="K147" s="1" t="s">
        <v>59</v>
      </c>
    </row>
    <row r="148" spans="1:11">
      <c r="A148" s="1" t="str">
        <f t="shared" si="9"/>
        <v/>
      </c>
      <c r="B148" s="1" t="str">
        <f t="shared" si="10"/>
        <v/>
      </c>
      <c r="C148" s="1" t="str">
        <f t="shared" si="11"/>
        <v/>
      </c>
      <c r="D148" s="1" t="str">
        <f t="shared" si="12"/>
        <v/>
      </c>
      <c r="G148" s="1" t="s">
        <v>87</v>
      </c>
      <c r="H148" s="1">
        <v>45.45</v>
      </c>
      <c r="I148" s="1" t="s">
        <v>32</v>
      </c>
      <c r="J148" s="13">
        <f t="shared" si="4"/>
        <v>45.45</v>
      </c>
      <c r="K148" s="1" t="s">
        <v>24</v>
      </c>
    </row>
    <row r="149" spans="1:11">
      <c r="A149" s="1" t="str">
        <f t="shared" si="9"/>
        <v/>
      </c>
      <c r="B149" s="1" t="str">
        <f t="shared" si="10"/>
        <v/>
      </c>
      <c r="C149" s="1" t="str">
        <f t="shared" si="11"/>
        <v/>
      </c>
      <c r="D149" s="1" t="str">
        <f t="shared" si="12"/>
        <v/>
      </c>
      <c r="G149" s="1" t="s">
        <v>258</v>
      </c>
      <c r="H149" s="1">
        <v>55</v>
      </c>
      <c r="I149" s="1" t="s">
        <v>32</v>
      </c>
      <c r="J149" s="13">
        <f t="shared" si="4"/>
        <v>55</v>
      </c>
      <c r="K149" s="1" t="s">
        <v>59</v>
      </c>
    </row>
    <row r="150" spans="1:11">
      <c r="A150" s="1" t="str">
        <f t="shared" si="9"/>
        <v/>
      </c>
      <c r="B150" s="1" t="str">
        <f t="shared" si="10"/>
        <v/>
      </c>
      <c r="C150" s="1" t="str">
        <f t="shared" si="11"/>
        <v/>
      </c>
      <c r="D150" s="1" t="str">
        <f t="shared" si="12"/>
        <v/>
      </c>
      <c r="G150" s="1" t="s">
        <v>111</v>
      </c>
      <c r="H150" s="1">
        <v>7.9</v>
      </c>
      <c r="I150" s="1" t="s">
        <v>32</v>
      </c>
      <c r="J150" s="13">
        <f t="shared" si="4"/>
        <v>7.9</v>
      </c>
      <c r="K150" s="1" t="s">
        <v>24</v>
      </c>
    </row>
    <row r="151" spans="1:11">
      <c r="A151" s="1" t="str">
        <f t="shared" si="9"/>
        <v/>
      </c>
      <c r="B151" s="1" t="str">
        <f t="shared" si="10"/>
        <v/>
      </c>
      <c r="C151" s="1" t="str">
        <f t="shared" si="11"/>
        <v/>
      </c>
      <c r="D151" s="1" t="str">
        <f t="shared" si="12"/>
        <v/>
      </c>
      <c r="G151" s="1" t="s">
        <v>87</v>
      </c>
      <c r="H151" s="1">
        <v>230.22</v>
      </c>
      <c r="I151" s="1" t="s">
        <v>32</v>
      </c>
      <c r="J151" s="13">
        <f t="shared" si="4"/>
        <v>230.22</v>
      </c>
      <c r="K151" s="1" t="s">
        <v>24</v>
      </c>
    </row>
    <row r="152" spans="1:11">
      <c r="A152" s="1" t="str">
        <f t="shared" si="9"/>
        <v/>
      </c>
      <c r="B152" s="1" t="str">
        <f t="shared" si="10"/>
        <v/>
      </c>
      <c r="C152" s="1" t="str">
        <f t="shared" si="11"/>
        <v/>
      </c>
      <c r="D152" s="1" t="str">
        <f t="shared" si="12"/>
        <v/>
      </c>
      <c r="G152" s="1" t="s">
        <v>92</v>
      </c>
      <c r="H152" s="1">
        <v>148.16999999999999</v>
      </c>
      <c r="I152" s="1" t="s">
        <v>32</v>
      </c>
      <c r="J152" s="13">
        <f t="shared" si="4"/>
        <v>148.16999999999999</v>
      </c>
      <c r="K152" s="1" t="s">
        <v>24</v>
      </c>
    </row>
    <row r="153" spans="1:11">
      <c r="A153" s="1" t="str">
        <f t="shared" si="9"/>
        <v/>
      </c>
      <c r="B153" s="1" t="str">
        <f t="shared" si="10"/>
        <v/>
      </c>
      <c r="C153" s="1" t="str">
        <f t="shared" si="11"/>
        <v/>
      </c>
      <c r="D153" s="1" t="str">
        <f t="shared" si="12"/>
        <v/>
      </c>
      <c r="G153" s="1" t="s">
        <v>259</v>
      </c>
      <c r="H153" s="1">
        <v>49</v>
      </c>
      <c r="I153" s="1" t="s">
        <v>32</v>
      </c>
      <c r="J153" s="13">
        <f t="shared" si="4"/>
        <v>49</v>
      </c>
      <c r="K153" s="1" t="s">
        <v>59</v>
      </c>
    </row>
    <row r="154" spans="1:11">
      <c r="A154" s="1" t="str">
        <f t="shared" si="9"/>
        <v/>
      </c>
      <c r="B154" s="1" t="str">
        <f t="shared" si="10"/>
        <v/>
      </c>
      <c r="C154" s="1" t="str">
        <f t="shared" si="11"/>
        <v/>
      </c>
      <c r="D154" s="1" t="str">
        <f t="shared" si="12"/>
        <v/>
      </c>
      <c r="G154" s="1" t="s">
        <v>87</v>
      </c>
      <c r="H154" s="1">
        <v>18.12</v>
      </c>
      <c r="I154" s="1" t="s">
        <v>32</v>
      </c>
      <c r="J154" s="13">
        <f t="shared" si="4"/>
        <v>18.12</v>
      </c>
      <c r="K154" s="1" t="s">
        <v>24</v>
      </c>
    </row>
    <row r="155" spans="1:11">
      <c r="A155" s="1" t="str">
        <f t="shared" si="9"/>
        <v/>
      </c>
      <c r="B155" s="1" t="str">
        <f t="shared" si="10"/>
        <v/>
      </c>
      <c r="C155" s="1" t="str">
        <f t="shared" si="11"/>
        <v/>
      </c>
      <c r="D155" s="1" t="str">
        <f t="shared" si="12"/>
        <v/>
      </c>
      <c r="G155" s="1" t="s">
        <v>87</v>
      </c>
      <c r="H155" s="1">
        <v>26.33</v>
      </c>
      <c r="I155" s="1" t="s">
        <v>32</v>
      </c>
      <c r="J155" s="13">
        <f t="shared" si="4"/>
        <v>26.33</v>
      </c>
      <c r="K155" s="1" t="s">
        <v>24</v>
      </c>
    </row>
    <row r="156" spans="1:11">
      <c r="A156" s="1" t="str">
        <f t="shared" si="9"/>
        <v>Reste prévu</v>
      </c>
      <c r="B156" s="1" t="e">
        <f t="shared" si="10"/>
        <v>#REF!</v>
      </c>
      <c r="C156" s="1" t="str">
        <f t="shared" si="11"/>
        <v>Reste réel</v>
      </c>
      <c r="D156" s="1" t="e">
        <f t="shared" si="12"/>
        <v>#REF!</v>
      </c>
      <c r="J156" s="13">
        <f t="shared" si="4"/>
        <v>0</v>
      </c>
      <c r="K156" s="1"/>
    </row>
    <row r="157" spans="1:11">
      <c r="A157" s="1" t="str">
        <f t="shared" si="9"/>
        <v/>
      </c>
      <c r="B157" s="1" t="str">
        <f t="shared" si="10"/>
        <v/>
      </c>
      <c r="C157" s="1" t="str">
        <f t="shared" si="11"/>
        <v/>
      </c>
      <c r="D157" s="1" t="str">
        <f t="shared" si="12"/>
        <v/>
      </c>
      <c r="J157" s="13">
        <f t="shared" si="4"/>
        <v>0</v>
      </c>
      <c r="K157" s="1"/>
    </row>
    <row r="158" spans="1:11">
      <c r="A158" s="1" t="str">
        <f t="shared" si="9"/>
        <v/>
      </c>
      <c r="B158" s="1" t="str">
        <f t="shared" si="10"/>
        <v/>
      </c>
      <c r="C158" s="1" t="str">
        <f t="shared" si="11"/>
        <v/>
      </c>
      <c r="D158" s="1" t="str">
        <f t="shared" si="12"/>
        <v/>
      </c>
      <c r="J158" s="13">
        <f t="shared" si="4"/>
        <v>0</v>
      </c>
      <c r="K158" s="1"/>
    </row>
    <row r="159" spans="1:11">
      <c r="A159" s="1" t="str">
        <f t="shared" si="9"/>
        <v/>
      </c>
      <c r="B159" s="1" t="str">
        <f t="shared" si="10"/>
        <v/>
      </c>
      <c r="C159" s="1" t="str">
        <f t="shared" si="11"/>
        <v/>
      </c>
      <c r="D159" s="1" t="str">
        <f t="shared" si="12"/>
        <v/>
      </c>
      <c r="J159" s="13">
        <f t="shared" si="4"/>
        <v>0</v>
      </c>
      <c r="K159" s="1"/>
    </row>
    <row r="160" spans="1:11">
      <c r="A160" s="1" t="str">
        <f t="shared" si="9"/>
        <v/>
      </c>
      <c r="B160" s="1" t="str">
        <f t="shared" si="10"/>
        <v/>
      </c>
      <c r="C160" s="1" t="str">
        <f t="shared" si="11"/>
        <v/>
      </c>
      <c r="D160" s="1" t="str">
        <f t="shared" si="12"/>
        <v/>
      </c>
      <c r="J160" s="13">
        <f t="shared" si="4"/>
        <v>0</v>
      </c>
    </row>
    <row r="161" spans="1:11">
      <c r="A161" s="1" t="str">
        <f t="shared" si="9"/>
        <v/>
      </c>
      <c r="B161" s="1" t="str">
        <f t="shared" si="10"/>
        <v/>
      </c>
      <c r="C161" s="1" t="str">
        <f t="shared" si="11"/>
        <v/>
      </c>
      <c r="D161" s="1" t="str">
        <f t="shared" si="12"/>
        <v/>
      </c>
      <c r="J161" s="13">
        <f t="shared" si="4"/>
        <v>0</v>
      </c>
    </row>
    <row r="162" spans="1:11">
      <c r="A162" s="1" t="str">
        <f t="shared" si="9"/>
        <v/>
      </c>
      <c r="B162" s="1" t="str">
        <f t="shared" si="10"/>
        <v/>
      </c>
      <c r="C162" s="1" t="str">
        <f t="shared" si="11"/>
        <v/>
      </c>
      <c r="D162" s="1" t="str">
        <f t="shared" si="12"/>
        <v/>
      </c>
      <c r="J162" s="13">
        <f t="shared" si="4"/>
        <v>0</v>
      </c>
    </row>
    <row r="163" spans="1:11">
      <c r="A163" s="1" t="str">
        <f t="shared" si="9"/>
        <v/>
      </c>
      <c r="B163" s="1" t="str">
        <f t="shared" si="10"/>
        <v/>
      </c>
      <c r="C163" s="1" t="str">
        <f t="shared" si="11"/>
        <v/>
      </c>
      <c r="D163" s="1" t="str">
        <f t="shared" si="12"/>
        <v/>
      </c>
      <c r="J163" s="13">
        <f t="shared" si="4"/>
        <v>0</v>
      </c>
      <c r="K163" s="1"/>
    </row>
    <row r="164" spans="1:11">
      <c r="A164" s="1" t="str">
        <f t="shared" si="9"/>
        <v/>
      </c>
      <c r="B164" s="1" t="str">
        <f t="shared" si="10"/>
        <v/>
      </c>
      <c r="C164" s="1" t="str">
        <f t="shared" si="11"/>
        <v/>
      </c>
      <c r="D164" s="1" t="str">
        <f t="shared" si="12"/>
        <v/>
      </c>
      <c r="J164" s="13">
        <f t="shared" si="4"/>
        <v>0</v>
      </c>
      <c r="K164" s="1"/>
    </row>
    <row r="165" spans="1:11">
      <c r="A165" s="1" t="str">
        <f t="shared" si="9"/>
        <v/>
      </c>
      <c r="B165" s="1" t="str">
        <f t="shared" si="10"/>
        <v/>
      </c>
      <c r="C165" s="1" t="str">
        <f t="shared" si="11"/>
        <v/>
      </c>
      <c r="D165" s="1" t="str">
        <f t="shared" si="12"/>
        <v/>
      </c>
      <c r="J165" s="13">
        <f t="shared" si="4"/>
        <v>0</v>
      </c>
      <c r="K165" s="1"/>
    </row>
    <row r="166" spans="1:11">
      <c r="A166" s="1" t="str">
        <f t="shared" si="9"/>
        <v/>
      </c>
      <c r="B166" s="1" t="str">
        <f t="shared" si="10"/>
        <v/>
      </c>
      <c r="C166" s="1" t="str">
        <f t="shared" si="11"/>
        <v/>
      </c>
      <c r="D166" s="1" t="str">
        <f t="shared" si="12"/>
        <v/>
      </c>
      <c r="J166" s="13">
        <f t="shared" si="4"/>
        <v>0</v>
      </c>
      <c r="K166" s="1"/>
    </row>
    <row r="167" spans="1:11">
      <c r="A167" s="1" t="str">
        <f t="shared" si="9"/>
        <v/>
      </c>
      <c r="B167" s="1" t="str">
        <f t="shared" si="10"/>
        <v/>
      </c>
      <c r="C167" s="1" t="str">
        <f t="shared" si="11"/>
        <v/>
      </c>
      <c r="D167" s="1" t="str">
        <f t="shared" si="12"/>
        <v/>
      </c>
      <c r="J167" s="13">
        <f t="shared" si="4"/>
        <v>0</v>
      </c>
      <c r="K167" s="1"/>
    </row>
    <row r="168" spans="1:11">
      <c r="A168" s="1" t="str">
        <f t="shared" si="9"/>
        <v/>
      </c>
      <c r="B168" s="1" t="str">
        <f t="shared" si="10"/>
        <v/>
      </c>
      <c r="C168" s="1" t="str">
        <f t="shared" si="11"/>
        <v/>
      </c>
      <c r="D168" s="1" t="str">
        <f t="shared" si="12"/>
        <v/>
      </c>
      <c r="J168" s="13">
        <f t="shared" si="4"/>
        <v>0</v>
      </c>
      <c r="K168" s="1"/>
    </row>
    <row r="169" spans="1:11">
      <c r="A169" s="1" t="str">
        <f t="shared" si="9"/>
        <v/>
      </c>
      <c r="B169" s="1" t="str">
        <f t="shared" si="10"/>
        <v/>
      </c>
      <c r="C169" s="1" t="str">
        <f t="shared" si="11"/>
        <v/>
      </c>
      <c r="D169" s="1" t="str">
        <f t="shared" si="12"/>
        <v/>
      </c>
      <c r="J169" s="13">
        <f t="shared" si="4"/>
        <v>0</v>
      </c>
      <c r="K169" s="1"/>
    </row>
    <row r="170" spans="1:11">
      <c r="A170" s="1" t="str">
        <f t="shared" si="9"/>
        <v/>
      </c>
      <c r="B170" s="1" t="str">
        <f t="shared" si="10"/>
        <v/>
      </c>
      <c r="C170" s="1" t="str">
        <f t="shared" si="11"/>
        <v/>
      </c>
      <c r="D170" s="1" t="str">
        <f t="shared" si="12"/>
        <v/>
      </c>
      <c r="J170" s="13">
        <f t="shared" si="4"/>
        <v>0</v>
      </c>
      <c r="K170" s="1"/>
    </row>
    <row r="171" spans="1:11">
      <c r="A171" s="1" t="str">
        <f t="shared" si="9"/>
        <v/>
      </c>
      <c r="B171" s="1" t="str">
        <f t="shared" si="10"/>
        <v/>
      </c>
      <c r="C171" s="1" t="str">
        <f t="shared" si="11"/>
        <v/>
      </c>
      <c r="D171" s="1" t="str">
        <f t="shared" si="12"/>
        <v/>
      </c>
      <c r="J171" s="13">
        <f t="shared" si="4"/>
        <v>0</v>
      </c>
      <c r="K171" s="1"/>
    </row>
    <row r="172" spans="1:11">
      <c r="A172" s="1" t="str">
        <f t="shared" si="9"/>
        <v/>
      </c>
      <c r="B172" s="1" t="str">
        <f t="shared" si="10"/>
        <v/>
      </c>
      <c r="C172" s="1" t="str">
        <f t="shared" si="11"/>
        <v/>
      </c>
      <c r="D172" s="1" t="str">
        <f t="shared" si="12"/>
        <v/>
      </c>
      <c r="J172" s="13">
        <f t="shared" si="4"/>
        <v>0</v>
      </c>
      <c r="K172" s="1"/>
    </row>
    <row r="173" spans="1:11">
      <c r="A173" s="1" t="str">
        <f t="shared" si="9"/>
        <v/>
      </c>
      <c r="B173" s="1" t="str">
        <f t="shared" si="10"/>
        <v/>
      </c>
      <c r="C173" s="1" t="str">
        <f t="shared" si="11"/>
        <v/>
      </c>
      <c r="D173" s="1" t="str">
        <f t="shared" si="12"/>
        <v/>
      </c>
      <c r="J173" s="13">
        <f t="shared" si="4"/>
        <v>0</v>
      </c>
      <c r="K173" s="1"/>
    </row>
    <row r="174" spans="1:11">
      <c r="A174" s="1" t="str">
        <f t="shared" si="9"/>
        <v/>
      </c>
      <c r="B174" s="1" t="str">
        <f t="shared" si="10"/>
        <v/>
      </c>
      <c r="C174" s="1" t="str">
        <f t="shared" si="11"/>
        <v/>
      </c>
      <c r="D174" s="1" t="str">
        <f t="shared" si="12"/>
        <v/>
      </c>
      <c r="J174" s="13">
        <f t="shared" si="4"/>
        <v>0</v>
      </c>
      <c r="K174" s="1"/>
    </row>
    <row r="175" spans="1:11">
      <c r="A175" s="1" t="str">
        <f t="shared" si="9"/>
        <v/>
      </c>
      <c r="B175" s="1" t="str">
        <f t="shared" si="10"/>
        <v/>
      </c>
      <c r="C175" s="1" t="str">
        <f t="shared" si="11"/>
        <v/>
      </c>
      <c r="D175" s="1" t="str">
        <f t="shared" si="12"/>
        <v/>
      </c>
      <c r="J175" s="13">
        <f t="shared" si="4"/>
        <v>0</v>
      </c>
      <c r="K175" s="1"/>
    </row>
    <row r="176" spans="1:11">
      <c r="A176" s="1" t="str">
        <f t="shared" si="9"/>
        <v/>
      </c>
      <c r="B176" s="1" t="str">
        <f t="shared" si="10"/>
        <v/>
      </c>
      <c r="C176" s="1" t="str">
        <f t="shared" si="11"/>
        <v/>
      </c>
      <c r="D176" s="1" t="str">
        <f t="shared" si="12"/>
        <v/>
      </c>
      <c r="J176" s="13">
        <f t="shared" si="4"/>
        <v>0</v>
      </c>
      <c r="K176" s="1"/>
    </row>
    <row r="177" spans="1:11">
      <c r="A177" s="1" t="str">
        <f t="shared" si="9"/>
        <v/>
      </c>
      <c r="B177" s="1" t="str">
        <f t="shared" si="10"/>
        <v/>
      </c>
      <c r="C177" s="1" t="str">
        <f t="shared" si="11"/>
        <v/>
      </c>
      <c r="D177" s="1" t="str">
        <f t="shared" si="12"/>
        <v/>
      </c>
      <c r="J177" s="13">
        <f t="shared" si="4"/>
        <v>0</v>
      </c>
      <c r="K177" s="1"/>
    </row>
    <row r="178" spans="1:11">
      <c r="A178" s="1" t="str">
        <f t="shared" si="9"/>
        <v/>
      </c>
      <c r="B178" s="1" t="str">
        <f t="shared" si="10"/>
        <v/>
      </c>
      <c r="C178" s="1" t="str">
        <f t="shared" si="11"/>
        <v/>
      </c>
      <c r="D178" s="1" t="str">
        <f t="shared" si="12"/>
        <v/>
      </c>
      <c r="J178" s="13">
        <f t="shared" si="4"/>
        <v>0</v>
      </c>
      <c r="K178" s="1"/>
    </row>
    <row r="179" spans="1:11">
      <c r="A179" s="1" t="str">
        <f t="shared" si="9"/>
        <v/>
      </c>
      <c r="B179" s="1" t="str">
        <f t="shared" si="10"/>
        <v/>
      </c>
      <c r="C179" s="1" t="str">
        <f t="shared" si="11"/>
        <v/>
      </c>
      <c r="D179" s="1" t="str">
        <f t="shared" si="12"/>
        <v/>
      </c>
      <c r="J179" s="13">
        <f t="shared" si="4"/>
        <v>0</v>
      </c>
      <c r="K179" s="1"/>
    </row>
    <row r="180" spans="1:11">
      <c r="A180" s="1" t="str">
        <f t="shared" si="9"/>
        <v/>
      </c>
      <c r="B180" s="1" t="str">
        <f t="shared" si="10"/>
        <v/>
      </c>
      <c r="C180" s="1" t="str">
        <f t="shared" si="11"/>
        <v/>
      </c>
      <c r="D180" s="1" t="str">
        <f t="shared" si="12"/>
        <v/>
      </c>
      <c r="J180" s="13">
        <f t="shared" si="4"/>
        <v>0</v>
      </c>
      <c r="K180" s="1"/>
    </row>
    <row r="181" spans="1:11">
      <c r="A181" s="1" t="str">
        <f t="shared" si="9"/>
        <v/>
      </c>
      <c r="B181" s="1" t="str">
        <f t="shared" si="10"/>
        <v/>
      </c>
      <c r="C181" s="1" t="str">
        <f t="shared" si="11"/>
        <v/>
      </c>
      <c r="D181" s="1" t="str">
        <f t="shared" si="12"/>
        <v/>
      </c>
      <c r="J181" s="13">
        <f t="shared" si="4"/>
        <v>0</v>
      </c>
      <c r="K181" s="1"/>
    </row>
    <row r="182" spans="1:11">
      <c r="A182" s="1" t="str">
        <f t="shared" si="9"/>
        <v/>
      </c>
      <c r="B182" s="1" t="str">
        <f t="shared" si="10"/>
        <v/>
      </c>
      <c r="C182" s="1" t="str">
        <f t="shared" si="11"/>
        <v/>
      </c>
      <c r="D182" s="1" t="str">
        <f t="shared" si="12"/>
        <v/>
      </c>
      <c r="J182" s="13">
        <f t="shared" si="4"/>
        <v>0</v>
      </c>
      <c r="K182" s="1"/>
    </row>
    <row r="183" spans="1:11">
      <c r="A183" s="1" t="str">
        <f t="shared" si="9"/>
        <v/>
      </c>
      <c r="B183" s="1" t="str">
        <f t="shared" si="10"/>
        <v/>
      </c>
      <c r="C183" s="1" t="str">
        <f t="shared" si="11"/>
        <v/>
      </c>
      <c r="D183" s="1" t="str">
        <f t="shared" si="12"/>
        <v/>
      </c>
      <c r="J183" s="13">
        <f t="shared" si="4"/>
        <v>0</v>
      </c>
      <c r="K183" s="1"/>
    </row>
    <row r="184" spans="1:11">
      <c r="A184" s="1" t="str">
        <f t="shared" si="9"/>
        <v/>
      </c>
      <c r="B184" s="1" t="str">
        <f t="shared" si="10"/>
        <v/>
      </c>
      <c r="C184" s="1" t="str">
        <f t="shared" si="11"/>
        <v/>
      </c>
      <c r="D184" s="1" t="str">
        <f t="shared" si="12"/>
        <v/>
      </c>
      <c r="J184" s="13">
        <f t="shared" si="4"/>
        <v>0</v>
      </c>
      <c r="K184" s="1"/>
    </row>
    <row r="185" spans="1:11">
      <c r="A185" s="1" t="str">
        <f t="shared" si="9"/>
        <v/>
      </c>
      <c r="B185" s="1" t="str">
        <f t="shared" si="10"/>
        <v/>
      </c>
      <c r="C185" s="1" t="str">
        <f t="shared" si="11"/>
        <v/>
      </c>
      <c r="D185" s="1" t="str">
        <f t="shared" si="12"/>
        <v/>
      </c>
      <c r="J185" s="13">
        <f t="shared" si="4"/>
        <v>0</v>
      </c>
      <c r="K185" s="1"/>
    </row>
    <row r="186" spans="1:11">
      <c r="A186" s="1" t="str">
        <f t="shared" si="9"/>
        <v/>
      </c>
      <c r="B186" s="1" t="str">
        <f t="shared" si="10"/>
        <v/>
      </c>
      <c r="C186" s="1" t="str">
        <f t="shared" si="11"/>
        <v/>
      </c>
      <c r="D186" s="1" t="str">
        <f t="shared" si="12"/>
        <v/>
      </c>
      <c r="J186" s="13">
        <f t="shared" si="4"/>
        <v>0</v>
      </c>
      <c r="K186" s="1"/>
    </row>
    <row r="187" spans="1:11">
      <c r="A187" s="1" t="str">
        <f t="shared" si="9"/>
        <v/>
      </c>
      <c r="B187" s="1" t="str">
        <f t="shared" si="10"/>
        <v/>
      </c>
      <c r="C187" s="1" t="str">
        <f t="shared" si="11"/>
        <v/>
      </c>
      <c r="D187" s="1" t="str">
        <f t="shared" si="12"/>
        <v/>
      </c>
      <c r="J187" s="13">
        <f t="shared" si="4"/>
        <v>0</v>
      </c>
      <c r="K187" s="1"/>
    </row>
    <row r="188" spans="1:11">
      <c r="A188" s="1" t="str">
        <f t="shared" si="9"/>
        <v/>
      </c>
      <c r="B188" s="1" t="str">
        <f t="shared" si="10"/>
        <v/>
      </c>
      <c r="C188" s="1" t="str">
        <f t="shared" si="11"/>
        <v/>
      </c>
      <c r="D188" s="1" t="str">
        <f t="shared" si="12"/>
        <v/>
      </c>
      <c r="J188" s="13">
        <f t="shared" si="4"/>
        <v>0</v>
      </c>
      <c r="K188" s="1"/>
    </row>
    <row r="189" spans="1:11">
      <c r="A189" s="1" t="str">
        <f t="shared" si="9"/>
        <v/>
      </c>
      <c r="B189" s="1" t="str">
        <f t="shared" si="10"/>
        <v/>
      </c>
      <c r="C189" s="1" t="str">
        <f t="shared" si="11"/>
        <v/>
      </c>
      <c r="D189" s="1" t="str">
        <f t="shared" si="12"/>
        <v/>
      </c>
      <c r="J189" s="13">
        <f t="shared" si="4"/>
        <v>0</v>
      </c>
      <c r="K189" s="1"/>
    </row>
    <row r="190" spans="1:11">
      <c r="A190" s="1" t="str">
        <f t="shared" si="9"/>
        <v/>
      </c>
      <c r="B190" s="1" t="str">
        <f t="shared" si="10"/>
        <v/>
      </c>
      <c r="C190" s="1" t="str">
        <f t="shared" si="11"/>
        <v/>
      </c>
      <c r="D190" s="1" t="str">
        <f t="shared" si="12"/>
        <v/>
      </c>
      <c r="J190" s="13">
        <f t="shared" si="4"/>
        <v>0</v>
      </c>
      <c r="K190" s="1"/>
    </row>
    <row r="191" spans="1:11">
      <c r="A191" s="1" t="str">
        <f t="shared" si="9"/>
        <v/>
      </c>
      <c r="B191" s="1" t="str">
        <f t="shared" si="10"/>
        <v/>
      </c>
      <c r="C191" s="1" t="str">
        <f t="shared" si="11"/>
        <v/>
      </c>
      <c r="D191" s="1" t="str">
        <f t="shared" si="12"/>
        <v/>
      </c>
      <c r="J191" s="13">
        <f t="shared" si="4"/>
        <v>0</v>
      </c>
      <c r="K191" s="1"/>
    </row>
    <row r="192" spans="1:11">
      <c r="A192" s="1" t="str">
        <f t="shared" si="9"/>
        <v/>
      </c>
      <c r="B192" s="1" t="str">
        <f t="shared" si="10"/>
        <v/>
      </c>
      <c r="C192" s="1" t="str">
        <f t="shared" si="11"/>
        <v/>
      </c>
      <c r="D192" s="1" t="str">
        <f t="shared" si="12"/>
        <v/>
      </c>
      <c r="J192" s="13">
        <f t="shared" si="4"/>
        <v>0</v>
      </c>
      <c r="K192" s="1"/>
    </row>
    <row r="193" spans="1:11">
      <c r="A193" s="1" t="str">
        <f t="shared" si="9"/>
        <v/>
      </c>
      <c r="B193" s="1" t="str">
        <f t="shared" si="10"/>
        <v/>
      </c>
      <c r="C193" s="1" t="str">
        <f t="shared" si="11"/>
        <v/>
      </c>
      <c r="D193" s="1" t="str">
        <f t="shared" si="12"/>
        <v/>
      </c>
      <c r="J193" s="13">
        <f t="shared" si="4"/>
        <v>0</v>
      </c>
      <c r="K193" s="1"/>
    </row>
    <row r="194" spans="1:11">
      <c r="A194" s="1" t="str">
        <f t="shared" si="9"/>
        <v/>
      </c>
      <c r="B194" s="1" t="str">
        <f t="shared" si="10"/>
        <v/>
      </c>
      <c r="C194" s="1" t="str">
        <f t="shared" si="11"/>
        <v/>
      </c>
      <c r="D194" s="1" t="str">
        <f t="shared" si="12"/>
        <v/>
      </c>
      <c r="J194" s="13">
        <f t="shared" si="4"/>
        <v>0</v>
      </c>
      <c r="K194" s="1"/>
    </row>
    <row r="195" spans="1:11">
      <c r="A195" s="1" t="str">
        <f t="shared" si="9"/>
        <v/>
      </c>
      <c r="B195" s="1" t="str">
        <f t="shared" si="10"/>
        <v/>
      </c>
      <c r="C195" s="1" t="str">
        <f t="shared" si="11"/>
        <v/>
      </c>
      <c r="D195" s="1" t="str">
        <f t="shared" si="12"/>
        <v/>
      </c>
      <c r="J195" s="13">
        <f t="shared" si="4"/>
        <v>0</v>
      </c>
      <c r="K195" s="1"/>
    </row>
    <row r="196" spans="1:11">
      <c r="A196" s="1" t="str">
        <f t="shared" si="9"/>
        <v/>
      </c>
      <c r="B196" s="1" t="str">
        <f t="shared" si="10"/>
        <v/>
      </c>
      <c r="C196" s="1" t="str">
        <f t="shared" si="11"/>
        <v/>
      </c>
      <c r="D196" s="1" t="str">
        <f t="shared" si="12"/>
        <v/>
      </c>
      <c r="J196" s="13">
        <f t="shared" si="4"/>
        <v>0</v>
      </c>
      <c r="K196" s="1"/>
    </row>
    <row r="197" spans="1:11">
      <c r="A197" s="1" t="str">
        <f t="shared" si="9"/>
        <v/>
      </c>
      <c r="B197" s="1" t="str">
        <f t="shared" si="10"/>
        <v/>
      </c>
      <c r="C197" s="1" t="str">
        <f t="shared" si="11"/>
        <v/>
      </c>
      <c r="D197" s="1" t="str">
        <f t="shared" si="12"/>
        <v/>
      </c>
      <c r="J197" s="13">
        <f t="shared" si="4"/>
        <v>0</v>
      </c>
      <c r="K197" s="1"/>
    </row>
    <row r="198" spans="1:11">
      <c r="A198" s="1" t="str">
        <f t="shared" si="9"/>
        <v/>
      </c>
      <c r="B198" s="1" t="str">
        <f t="shared" si="10"/>
        <v/>
      </c>
      <c r="C198" s="1" t="str">
        <f t="shared" si="11"/>
        <v/>
      </c>
      <c r="D198" s="1" t="str">
        <f t="shared" si="12"/>
        <v/>
      </c>
      <c r="J198" s="13">
        <f t="shared" si="4"/>
        <v>0</v>
      </c>
      <c r="K198" s="1"/>
    </row>
    <row r="199" spans="1:11">
      <c r="A199" s="1" t="str">
        <f t="shared" si="9"/>
        <v/>
      </c>
      <c r="B199" s="1" t="str">
        <f t="shared" si="10"/>
        <v/>
      </c>
      <c r="C199" s="1" t="str">
        <f t="shared" si="11"/>
        <v/>
      </c>
      <c r="D199" s="1" t="str">
        <f t="shared" si="12"/>
        <v/>
      </c>
      <c r="J199" s="13">
        <f t="shared" si="4"/>
        <v>0</v>
      </c>
      <c r="K199" s="1"/>
    </row>
    <row r="200" spans="1:11">
      <c r="A200" s="1" t="str">
        <f t="shared" si="9"/>
        <v/>
      </c>
      <c r="B200" s="1" t="str">
        <f t="shared" si="10"/>
        <v/>
      </c>
      <c r="C200" s="1" t="str">
        <f t="shared" si="11"/>
        <v/>
      </c>
      <c r="D200" s="1" t="str">
        <f t="shared" si="12"/>
        <v/>
      </c>
      <c r="J200" s="13">
        <f t="shared" si="4"/>
        <v>0</v>
      </c>
      <c r="K200" s="1"/>
    </row>
    <row r="201" spans="1:11">
      <c r="A201" s="1" t="str">
        <f t="shared" si="9"/>
        <v/>
      </c>
      <c r="B201" s="1" t="str">
        <f t="shared" si="10"/>
        <v/>
      </c>
      <c r="C201" s="1" t="str">
        <f t="shared" si="11"/>
        <v/>
      </c>
      <c r="D201" s="1" t="str">
        <f t="shared" si="12"/>
        <v/>
      </c>
      <c r="J201" s="13">
        <f t="shared" si="4"/>
        <v>0</v>
      </c>
      <c r="K201" s="1"/>
    </row>
    <row r="202" spans="1:11">
      <c r="A202" s="1" t="str">
        <f t="shared" si="9"/>
        <v/>
      </c>
      <c r="B202" s="1" t="str">
        <f t="shared" si="10"/>
        <v/>
      </c>
      <c r="C202" s="1" t="str">
        <f t="shared" si="11"/>
        <v/>
      </c>
      <c r="D202" s="1" t="str">
        <f t="shared" si="12"/>
        <v/>
      </c>
      <c r="J202" s="13">
        <f t="shared" si="4"/>
        <v>0</v>
      </c>
      <c r="K202" s="1"/>
    </row>
    <row r="203" spans="1:11">
      <c r="A203" s="1" t="str">
        <f t="shared" si="9"/>
        <v/>
      </c>
      <c r="B203" s="1" t="str">
        <f t="shared" si="10"/>
        <v/>
      </c>
      <c r="C203" s="1" t="str">
        <f t="shared" si="11"/>
        <v/>
      </c>
      <c r="D203" s="1" t="str">
        <f t="shared" si="12"/>
        <v/>
      </c>
      <c r="J203" s="13">
        <f t="shared" si="4"/>
        <v>0</v>
      </c>
      <c r="K203" s="1"/>
    </row>
    <row r="204" spans="1:11">
      <c r="A204" s="1" t="str">
        <f t="shared" si="9"/>
        <v/>
      </c>
      <c r="B204" s="1" t="str">
        <f t="shared" si="10"/>
        <v/>
      </c>
      <c r="C204" s="1" t="str">
        <f t="shared" si="11"/>
        <v/>
      </c>
      <c r="D204" s="1" t="str">
        <f t="shared" si="12"/>
        <v/>
      </c>
      <c r="J204" s="13">
        <f t="shared" si="4"/>
        <v>0</v>
      </c>
      <c r="K204" s="1"/>
    </row>
    <row r="205" spans="1:11">
      <c r="A205" s="1" t="str">
        <f t="shared" si="9"/>
        <v/>
      </c>
      <c r="B205" s="1" t="str">
        <f t="shared" si="10"/>
        <v/>
      </c>
      <c r="C205" s="1" t="str">
        <f t="shared" si="11"/>
        <v/>
      </c>
      <c r="D205" s="1" t="str">
        <f t="shared" si="12"/>
        <v/>
      </c>
      <c r="J205" s="13">
        <f t="shared" si="4"/>
        <v>0</v>
      </c>
      <c r="K205" s="1"/>
    </row>
    <row r="206" spans="1:11">
      <c r="A206" s="1" t="str">
        <f t="shared" si="9"/>
        <v/>
      </c>
      <c r="B206" s="1" t="str">
        <f t="shared" si="10"/>
        <v/>
      </c>
      <c r="C206" s="1" t="str">
        <f t="shared" si="11"/>
        <v/>
      </c>
      <c r="D206" s="1" t="str">
        <f t="shared" si="12"/>
        <v/>
      </c>
      <c r="J206" s="13">
        <f t="shared" si="4"/>
        <v>0</v>
      </c>
      <c r="K206" s="1"/>
    </row>
    <row r="207" spans="1:11">
      <c r="A207" s="1" t="str">
        <f t="shared" si="9"/>
        <v/>
      </c>
      <c r="B207" s="1" t="str">
        <f t="shared" si="10"/>
        <v/>
      </c>
      <c r="C207" s="1" t="str">
        <f t="shared" si="11"/>
        <v/>
      </c>
      <c r="D207" s="1" t="str">
        <f t="shared" si="12"/>
        <v/>
      </c>
      <c r="J207" s="13">
        <f t="shared" si="4"/>
        <v>0</v>
      </c>
      <c r="K207" s="1"/>
    </row>
    <row r="208" spans="1:11">
      <c r="A208" s="1" t="str">
        <f t="shared" si="9"/>
        <v/>
      </c>
      <c r="B208" s="1" t="str">
        <f t="shared" si="10"/>
        <v/>
      </c>
      <c r="C208" s="1" t="str">
        <f t="shared" si="11"/>
        <v/>
      </c>
      <c r="D208" s="1" t="str">
        <f t="shared" si="12"/>
        <v/>
      </c>
      <c r="J208" s="13">
        <f t="shared" si="4"/>
        <v>0</v>
      </c>
      <c r="K208" s="1"/>
    </row>
    <row r="209" spans="1:11">
      <c r="A209" s="1" t="str">
        <f t="shared" si="9"/>
        <v/>
      </c>
      <c r="B209" s="1" t="str">
        <f t="shared" si="10"/>
        <v/>
      </c>
      <c r="C209" s="1" t="str">
        <f t="shared" si="11"/>
        <v/>
      </c>
      <c r="D209" s="1" t="str">
        <f t="shared" si="12"/>
        <v/>
      </c>
      <c r="J209" s="13">
        <f t="shared" si="4"/>
        <v>0</v>
      </c>
      <c r="K209" s="1"/>
    </row>
    <row r="210" spans="1:11">
      <c r="A210" s="1" t="str">
        <f t="shared" si="9"/>
        <v/>
      </c>
      <c r="B210" s="1" t="str">
        <f t="shared" si="10"/>
        <v/>
      </c>
      <c r="C210" s="1" t="str">
        <f t="shared" si="11"/>
        <v/>
      </c>
      <c r="D210" s="1" t="str">
        <f t="shared" si="12"/>
        <v/>
      </c>
      <c r="J210" s="13">
        <f t="shared" si="4"/>
        <v>0</v>
      </c>
      <c r="K210" s="1"/>
    </row>
    <row r="211" spans="1:11">
      <c r="A211" s="1" t="str">
        <f t="shared" si="9"/>
        <v/>
      </c>
      <c r="B211" s="1" t="str">
        <f t="shared" si="10"/>
        <v/>
      </c>
      <c r="C211" s="1" t="str">
        <f t="shared" si="11"/>
        <v/>
      </c>
      <c r="D211" s="1" t="str">
        <f t="shared" si="12"/>
        <v/>
      </c>
      <c r="J211" s="13">
        <f t="shared" si="4"/>
        <v>0</v>
      </c>
      <c r="K211" s="1"/>
    </row>
    <row r="212" spans="1:11">
      <c r="A212" s="1" t="str">
        <f t="shared" si="9"/>
        <v/>
      </c>
      <c r="B212" s="1" t="str">
        <f t="shared" si="10"/>
        <v/>
      </c>
      <c r="C212" s="1" t="str">
        <f t="shared" si="11"/>
        <v/>
      </c>
      <c r="D212" s="1" t="str">
        <f t="shared" si="12"/>
        <v/>
      </c>
      <c r="J212" s="13">
        <f t="shared" si="4"/>
        <v>0</v>
      </c>
      <c r="K212" s="1"/>
    </row>
    <row r="213" spans="1:11">
      <c r="A213" s="1" t="str">
        <f t="shared" si="9"/>
        <v/>
      </c>
      <c r="B213" s="1" t="str">
        <f t="shared" si="10"/>
        <v/>
      </c>
      <c r="C213" s="1" t="str">
        <f t="shared" si="11"/>
        <v/>
      </c>
      <c r="D213" s="1" t="str">
        <f t="shared" si="12"/>
        <v/>
      </c>
      <c r="J213" s="13">
        <f t="shared" si="4"/>
        <v>0</v>
      </c>
      <c r="K213" s="1"/>
    </row>
    <row r="214" spans="1:11">
      <c r="A214" s="1" t="str">
        <f t="shared" si="9"/>
        <v/>
      </c>
      <c r="B214" s="1" t="str">
        <f t="shared" si="10"/>
        <v/>
      </c>
      <c r="C214" s="1" t="str">
        <f t="shared" si="11"/>
        <v/>
      </c>
      <c r="D214" s="1" t="str">
        <f t="shared" si="12"/>
        <v/>
      </c>
      <c r="J214" s="13">
        <f t="shared" si="4"/>
        <v>0</v>
      </c>
      <c r="K214" s="1"/>
    </row>
    <row r="215" spans="1:11">
      <c r="A215" s="1" t="str">
        <f t="shared" si="9"/>
        <v/>
      </c>
      <c r="B215" s="1" t="str">
        <f t="shared" si="10"/>
        <v/>
      </c>
      <c r="C215" s="1" t="str">
        <f t="shared" si="11"/>
        <v/>
      </c>
      <c r="D215" s="1" t="str">
        <f t="shared" si="12"/>
        <v/>
      </c>
      <c r="K215" s="1"/>
    </row>
    <row r="216" spans="1:11">
      <c r="A216" s="1" t="str">
        <f t="shared" si="9"/>
        <v/>
      </c>
      <c r="B216" s="1" t="str">
        <f t="shared" si="10"/>
        <v/>
      </c>
      <c r="C216" s="1" t="str">
        <f t="shared" si="11"/>
        <v/>
      </c>
      <c r="D216" s="1" t="str">
        <f t="shared" si="12"/>
        <v/>
      </c>
      <c r="K216" s="1"/>
    </row>
    <row r="217" spans="1:11">
      <c r="A217" s="1" t="str">
        <f t="shared" si="9"/>
        <v/>
      </c>
      <c r="B217" s="1" t="str">
        <f t="shared" si="10"/>
        <v/>
      </c>
      <c r="C217" s="1" t="str">
        <f t="shared" si="11"/>
        <v/>
      </c>
      <c r="D217" s="1" t="str">
        <f t="shared" si="12"/>
        <v/>
      </c>
      <c r="K217" s="1"/>
    </row>
    <row r="218" spans="1:11">
      <c r="A218" s="1" t="str">
        <f t="shared" si="9"/>
        <v/>
      </c>
      <c r="B218" s="1" t="str">
        <f t="shared" si="10"/>
        <v/>
      </c>
      <c r="C218" s="1" t="str">
        <f t="shared" si="11"/>
        <v/>
      </c>
      <c r="D218" s="1" t="str">
        <f t="shared" si="12"/>
        <v/>
      </c>
      <c r="K218" s="1"/>
    </row>
    <row r="219" spans="1:11">
      <c r="A219" s="1" t="str">
        <f t="shared" si="9"/>
        <v/>
      </c>
      <c r="B219" s="1" t="str">
        <f t="shared" si="10"/>
        <v/>
      </c>
      <c r="C219" s="1" t="str">
        <f t="shared" si="11"/>
        <v/>
      </c>
      <c r="D219" s="1" t="str">
        <f t="shared" si="12"/>
        <v/>
      </c>
      <c r="K219" s="1"/>
    </row>
    <row r="220" spans="1:11">
      <c r="A220" s="1" t="str">
        <f t="shared" si="9"/>
        <v/>
      </c>
      <c r="B220" s="1" t="str">
        <f t="shared" si="10"/>
        <v/>
      </c>
      <c r="C220" s="1" t="str">
        <f t="shared" si="11"/>
        <v/>
      </c>
      <c r="D220" s="1" t="str">
        <f t="shared" si="12"/>
        <v/>
      </c>
      <c r="K220" s="1"/>
    </row>
    <row r="221" spans="1:11">
      <c r="A221" s="1" t="str">
        <f t="shared" si="9"/>
        <v/>
      </c>
      <c r="B221" s="1" t="str">
        <f t="shared" si="10"/>
        <v/>
      </c>
      <c r="C221" s="1" t="str">
        <f t="shared" si="11"/>
        <v/>
      </c>
      <c r="D221" s="1" t="str">
        <f t="shared" si="12"/>
        <v/>
      </c>
      <c r="K221" s="1"/>
    </row>
    <row r="222" spans="1:11">
      <c r="A222" s="1" t="str">
        <f t="shared" si="9"/>
        <v/>
      </c>
      <c r="B222" s="1" t="str">
        <f t="shared" si="10"/>
        <v/>
      </c>
      <c r="C222" s="1" t="str">
        <f t="shared" si="11"/>
        <v/>
      </c>
      <c r="D222" s="1" t="str">
        <f t="shared" si="12"/>
        <v/>
      </c>
      <c r="K222" s="1"/>
    </row>
    <row r="223" spans="1:11">
      <c r="A223" s="1" t="str">
        <f t="shared" si="9"/>
        <v/>
      </c>
      <c r="B223" s="1" t="str">
        <f t="shared" si="10"/>
        <v/>
      </c>
      <c r="C223" s="1" t="str">
        <f t="shared" si="11"/>
        <v/>
      </c>
      <c r="D223" s="1" t="str">
        <f t="shared" si="12"/>
        <v/>
      </c>
      <c r="K223" s="1"/>
    </row>
    <row r="224" spans="1:11">
      <c r="A224" s="1" t="str">
        <f t="shared" si="9"/>
        <v/>
      </c>
      <c r="B224" s="1" t="str">
        <f t="shared" si="10"/>
        <v/>
      </c>
      <c r="C224" s="1" t="str">
        <f t="shared" si="11"/>
        <v/>
      </c>
      <c r="D224" s="1" t="str">
        <f t="shared" si="12"/>
        <v/>
      </c>
      <c r="K224" s="1"/>
    </row>
    <row r="225" spans="1:11">
      <c r="A225" s="1" t="str">
        <f t="shared" si="9"/>
        <v/>
      </c>
      <c r="B225" s="1" t="str">
        <f t="shared" si="10"/>
        <v/>
      </c>
      <c r="C225" s="1" t="str">
        <f t="shared" si="11"/>
        <v/>
      </c>
      <c r="D225" s="1" t="str">
        <f t="shared" si="12"/>
        <v/>
      </c>
      <c r="K225" s="1"/>
    </row>
    <row r="226" spans="1:11">
      <c r="A226" s="1" t="str">
        <f t="shared" si="9"/>
        <v/>
      </c>
      <c r="B226" s="1" t="str">
        <f t="shared" si="10"/>
        <v/>
      </c>
      <c r="C226" s="1" t="str">
        <f t="shared" si="11"/>
        <v/>
      </c>
      <c r="D226" s="1" t="str">
        <f t="shared" si="12"/>
        <v/>
      </c>
      <c r="K226" s="1"/>
    </row>
    <row r="227" spans="1:11">
      <c r="A227" s="1" t="str">
        <f t="shared" si="9"/>
        <v/>
      </c>
      <c r="B227" s="1" t="str">
        <f t="shared" si="10"/>
        <v/>
      </c>
      <c r="C227" s="1" t="str">
        <f t="shared" si="11"/>
        <v/>
      </c>
      <c r="D227" s="1" t="str">
        <f t="shared" si="12"/>
        <v/>
      </c>
      <c r="K227" s="1"/>
    </row>
    <row r="228" spans="1:11">
      <c r="A228" s="1" t="str">
        <f t="shared" si="9"/>
        <v/>
      </c>
      <c r="B228" s="1" t="str">
        <f t="shared" si="10"/>
        <v/>
      </c>
      <c r="C228" s="1" t="str">
        <f t="shared" si="11"/>
        <v/>
      </c>
      <c r="D228" s="1" t="str">
        <f t="shared" si="12"/>
        <v/>
      </c>
      <c r="K228" s="1"/>
    </row>
    <row r="229" spans="1:11">
      <c r="A229" s="1" t="str">
        <f t="shared" si="9"/>
        <v/>
      </c>
      <c r="B229" s="1" t="str">
        <f t="shared" si="10"/>
        <v/>
      </c>
      <c r="C229" s="1" t="str">
        <f t="shared" si="11"/>
        <v/>
      </c>
      <c r="D229" s="1" t="str">
        <f t="shared" si="12"/>
        <v/>
      </c>
      <c r="K229" s="1"/>
    </row>
    <row r="230" spans="1:11">
      <c r="A230" s="1" t="str">
        <f t="shared" si="9"/>
        <v/>
      </c>
      <c r="B230" s="1" t="str">
        <f t="shared" si="10"/>
        <v/>
      </c>
      <c r="C230" s="1" t="str">
        <f t="shared" si="11"/>
        <v/>
      </c>
      <c r="D230" s="1" t="str">
        <f t="shared" si="12"/>
        <v/>
      </c>
      <c r="K230" s="1"/>
    </row>
    <row r="231" spans="1:11">
      <c r="A231" s="1" t="str">
        <f t="shared" si="9"/>
        <v/>
      </c>
      <c r="B231" s="1" t="str">
        <f t="shared" si="10"/>
        <v/>
      </c>
      <c r="C231" s="1" t="str">
        <f t="shared" si="11"/>
        <v/>
      </c>
      <c r="D231" s="1" t="str">
        <f t="shared" si="12"/>
        <v/>
      </c>
      <c r="K231" s="1"/>
    </row>
    <row r="232" spans="1:11">
      <c r="A232" s="1" t="str">
        <f t="shared" si="9"/>
        <v/>
      </c>
      <c r="B232" s="1" t="str">
        <f t="shared" si="10"/>
        <v/>
      </c>
      <c r="C232" s="1" t="str">
        <f t="shared" si="11"/>
        <v/>
      </c>
      <c r="D232" s="1" t="str">
        <f t="shared" si="12"/>
        <v/>
      </c>
      <c r="K232" s="1"/>
    </row>
    <row r="233" spans="1:11">
      <c r="A233" s="1" t="str">
        <f t="shared" si="9"/>
        <v/>
      </c>
      <c r="B233" s="1" t="str">
        <f t="shared" si="10"/>
        <v/>
      </c>
      <c r="C233" s="1" t="str">
        <f t="shared" si="11"/>
        <v/>
      </c>
      <c r="D233" s="1" t="str">
        <f t="shared" si="12"/>
        <v/>
      </c>
      <c r="K233" s="1"/>
    </row>
    <row r="234" spans="1:11">
      <c r="A234" s="1" t="str">
        <f t="shared" si="9"/>
        <v/>
      </c>
      <c r="B234" s="1" t="str">
        <f t="shared" si="10"/>
        <v/>
      </c>
      <c r="C234" s="1" t="str">
        <f t="shared" si="11"/>
        <v/>
      </c>
      <c r="D234" s="1" t="str">
        <f t="shared" si="12"/>
        <v/>
      </c>
      <c r="K234" s="1"/>
    </row>
    <row r="235" spans="1:11">
      <c r="A235" s="1" t="str">
        <f t="shared" si="9"/>
        <v/>
      </c>
      <c r="B235" s="1" t="str">
        <f t="shared" si="10"/>
        <v/>
      </c>
      <c r="C235" s="1" t="str">
        <f t="shared" si="11"/>
        <v/>
      </c>
      <c r="D235" s="1" t="str">
        <f t="shared" si="12"/>
        <v/>
      </c>
      <c r="K235" s="1"/>
    </row>
    <row r="236" spans="1:11">
      <c r="A236" s="1" t="str">
        <f t="shared" si="9"/>
        <v/>
      </c>
      <c r="B236" s="1" t="str">
        <f t="shared" si="10"/>
        <v/>
      </c>
      <c r="C236" s="1" t="str">
        <f t="shared" si="11"/>
        <v/>
      </c>
      <c r="D236" s="1" t="str">
        <f t="shared" si="12"/>
        <v/>
      </c>
      <c r="K236" s="1"/>
    </row>
    <row r="237" spans="1:11">
      <c r="A237" s="1" t="str">
        <f t="shared" si="9"/>
        <v/>
      </c>
      <c r="B237" s="1" t="str">
        <f t="shared" si="10"/>
        <v/>
      </c>
      <c r="C237" s="1" t="str">
        <f t="shared" si="11"/>
        <v/>
      </c>
      <c r="D237" s="1" t="str">
        <f t="shared" si="12"/>
        <v/>
      </c>
      <c r="K237" s="1"/>
    </row>
    <row r="238" spans="1:11">
      <c r="K238" s="1"/>
    </row>
    <row r="239" spans="1:11">
      <c r="K239" s="1"/>
    </row>
    <row r="240" spans="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  <row r="1009" spans="11:11">
      <c r="K1009" s="1"/>
    </row>
  </sheetData>
  <autoFilter ref="K1:K1012" xr:uid="{00000000-0009-0000-0000-000007000000}"/>
  <dataValidations count="1">
    <dataValidation type="list" allowBlank="1" showErrorMessage="1" sqref="K1:K159 K163:K1009" xr:uid="{00000000-0002-0000-0700-000000000000}">
      <formula1>"Assurances/Mutuelle,Bricolage/Travaux,Catégorie,Charges,Courses,Divers,Internet/Téléphone,Logement,Loisirs,Medical,Scolarité,Soins,Vêtements,Voiture/Déplacement,Cadeau"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1008"/>
  <sheetViews>
    <sheetView workbookViewId="0"/>
  </sheetViews>
  <sheetFormatPr defaultColWidth="12.6640625" defaultRowHeight="15.75" customHeight="1"/>
  <cols>
    <col min="1" max="1" width="22.88671875" customWidth="1"/>
    <col min="2" max="2" width="31.21875" customWidth="1"/>
    <col min="5" max="5" width="24.109375" customWidth="1"/>
    <col min="7" max="7" width="28.77734375" customWidth="1"/>
    <col min="9" max="9" width="17.44140625" customWidth="1"/>
    <col min="11" max="11" width="29.21875" customWidth="1"/>
  </cols>
  <sheetData>
    <row r="1" spans="1:29">
      <c r="A1" s="1"/>
      <c r="B1" s="1" t="s">
        <v>27</v>
      </c>
      <c r="C1" s="1"/>
      <c r="D1" s="1"/>
      <c r="E1" s="1" t="s">
        <v>28</v>
      </c>
      <c r="K1" s="1" t="s">
        <v>29</v>
      </c>
    </row>
    <row r="2" spans="1:29">
      <c r="K2" s="1"/>
    </row>
    <row r="3" spans="1:29">
      <c r="A3" s="1"/>
      <c r="B3" s="1" t="s">
        <v>30</v>
      </c>
      <c r="C3" s="1">
        <v>5357.67</v>
      </c>
      <c r="E3" s="1" t="s">
        <v>31</v>
      </c>
      <c r="F3" s="1">
        <v>669.7</v>
      </c>
      <c r="G3" s="1" t="s">
        <v>32</v>
      </c>
      <c r="H3" s="1">
        <f t="shared" ref="H3:H6" si="0">IF(G3="x",F3,0)</f>
        <v>669.7</v>
      </c>
      <c r="K3" s="1" t="s">
        <v>25</v>
      </c>
    </row>
    <row r="4" spans="1:29">
      <c r="A4" s="1"/>
      <c r="B4" s="1" t="s">
        <v>33</v>
      </c>
      <c r="C4" s="1">
        <v>2011.6</v>
      </c>
      <c r="E4" s="1" t="s">
        <v>34</v>
      </c>
      <c r="H4" s="1">
        <f t="shared" si="0"/>
        <v>0</v>
      </c>
      <c r="K4" s="1" t="s">
        <v>26</v>
      </c>
    </row>
    <row r="5" spans="1:29">
      <c r="A5" s="1"/>
      <c r="B5" s="1" t="s">
        <v>35</v>
      </c>
      <c r="C5" s="1">
        <v>114.19</v>
      </c>
      <c r="E5" s="1" t="s">
        <v>36</v>
      </c>
      <c r="F5" s="1">
        <v>70</v>
      </c>
      <c r="G5" s="1" t="s">
        <v>32</v>
      </c>
      <c r="H5" s="1">
        <f t="shared" si="0"/>
        <v>70</v>
      </c>
      <c r="K5" s="1" t="s">
        <v>26</v>
      </c>
    </row>
    <row r="6" spans="1:29">
      <c r="E6" s="11" t="s">
        <v>37</v>
      </c>
      <c r="F6" s="10">
        <v>164.99</v>
      </c>
      <c r="G6" s="11" t="s">
        <v>32</v>
      </c>
      <c r="H6" s="1">
        <f t="shared" si="0"/>
        <v>164.99</v>
      </c>
      <c r="K6" s="1" t="s">
        <v>26</v>
      </c>
    </row>
    <row r="7" spans="1:29">
      <c r="A7" s="11"/>
      <c r="D7" s="11"/>
      <c r="E7" s="1" t="s">
        <v>38</v>
      </c>
      <c r="F7" s="1">
        <v>995.15</v>
      </c>
      <c r="G7" s="11" t="s">
        <v>32</v>
      </c>
      <c r="H7" s="10">
        <f>IF(G7="x",F7,0)</f>
        <v>995.15</v>
      </c>
      <c r="I7" s="11"/>
      <c r="J7" s="11"/>
      <c r="K7" s="1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E8" s="1" t="s">
        <v>40</v>
      </c>
      <c r="F8" s="1">
        <v>883.42</v>
      </c>
      <c r="G8" s="1" t="s">
        <v>32</v>
      </c>
      <c r="H8" s="1">
        <f t="shared" ref="H8:H21" si="1">IF(G8="x",F8,0)</f>
        <v>883.42</v>
      </c>
      <c r="K8" s="1" t="s">
        <v>25</v>
      </c>
    </row>
    <row r="9" spans="1:29">
      <c r="B9" s="11" t="s">
        <v>261</v>
      </c>
      <c r="C9" s="11">
        <v>51.15</v>
      </c>
      <c r="E9" s="1" t="s">
        <v>42</v>
      </c>
      <c r="F9" s="1">
        <v>11.46</v>
      </c>
      <c r="G9" s="1" t="s">
        <v>32</v>
      </c>
      <c r="H9" s="1">
        <f t="shared" si="1"/>
        <v>11.46</v>
      </c>
      <c r="K9" s="1" t="s">
        <v>25</v>
      </c>
    </row>
    <row r="10" spans="1:29">
      <c r="B10" s="1" t="s">
        <v>262</v>
      </c>
      <c r="C10" s="1">
        <v>55.3</v>
      </c>
      <c r="E10" s="1" t="s">
        <v>42</v>
      </c>
      <c r="F10" s="1">
        <v>32.57</v>
      </c>
      <c r="G10" s="1" t="s">
        <v>32</v>
      </c>
      <c r="H10" s="1">
        <f t="shared" si="1"/>
        <v>32.57</v>
      </c>
      <c r="K10" s="1" t="s">
        <v>25</v>
      </c>
    </row>
    <row r="11" spans="1:29">
      <c r="B11" s="1" t="s">
        <v>263</v>
      </c>
      <c r="C11" s="1">
        <v>39.99</v>
      </c>
      <c r="E11" s="1" t="s">
        <v>42</v>
      </c>
      <c r="F11" s="1">
        <v>79.98</v>
      </c>
      <c r="G11" s="1" t="s">
        <v>32</v>
      </c>
      <c r="H11" s="1">
        <f t="shared" si="1"/>
        <v>79.98</v>
      </c>
      <c r="K11" s="1" t="s">
        <v>25</v>
      </c>
    </row>
    <row r="12" spans="1:29">
      <c r="B12" s="1" t="s">
        <v>264</v>
      </c>
      <c r="C12" s="1">
        <v>5</v>
      </c>
      <c r="E12" s="1" t="s">
        <v>42</v>
      </c>
      <c r="F12" s="1">
        <v>28.49</v>
      </c>
      <c r="G12" s="1" t="s">
        <v>32</v>
      </c>
      <c r="H12" s="1">
        <f t="shared" si="1"/>
        <v>28.49</v>
      </c>
      <c r="K12" s="1" t="s">
        <v>25</v>
      </c>
    </row>
    <row r="13" spans="1:29">
      <c r="B13" s="1" t="s">
        <v>265</v>
      </c>
      <c r="C13" s="1">
        <v>9</v>
      </c>
      <c r="E13" s="1" t="s">
        <v>43</v>
      </c>
      <c r="F13" s="1">
        <v>6.99</v>
      </c>
      <c r="G13" s="1" t="s">
        <v>32</v>
      </c>
      <c r="H13" s="1">
        <f t="shared" si="1"/>
        <v>6.99</v>
      </c>
      <c r="K13" s="1" t="s">
        <v>44</v>
      </c>
    </row>
    <row r="14" spans="1:29">
      <c r="B14" s="1" t="s">
        <v>1</v>
      </c>
      <c r="C14" s="1">
        <v>1000</v>
      </c>
      <c r="E14" s="1" t="s">
        <v>45</v>
      </c>
      <c r="F14" s="1">
        <v>65</v>
      </c>
      <c r="G14" s="1" t="s">
        <v>32</v>
      </c>
      <c r="H14" s="1">
        <f t="shared" si="1"/>
        <v>65</v>
      </c>
      <c r="K14" s="1" t="s">
        <v>26</v>
      </c>
    </row>
    <row r="15" spans="1:29">
      <c r="B15" s="1" t="s">
        <v>189</v>
      </c>
      <c r="C15" s="1">
        <v>17</v>
      </c>
      <c r="E15" s="1" t="s">
        <v>46</v>
      </c>
      <c r="F15" s="1">
        <v>208</v>
      </c>
      <c r="G15" s="1" t="s">
        <v>32</v>
      </c>
      <c r="H15" s="1">
        <f t="shared" si="1"/>
        <v>208</v>
      </c>
      <c r="K15" s="1" t="s">
        <v>26</v>
      </c>
    </row>
    <row r="16" spans="1:29">
      <c r="B16" s="1" t="s">
        <v>189</v>
      </c>
      <c r="C16" s="1">
        <v>12</v>
      </c>
      <c r="E16" s="1" t="s">
        <v>47</v>
      </c>
      <c r="F16" s="1">
        <v>24.99</v>
      </c>
      <c r="G16" s="1" t="s">
        <v>32</v>
      </c>
      <c r="H16" s="1">
        <f t="shared" si="1"/>
        <v>24.99</v>
      </c>
      <c r="K16" s="1" t="s">
        <v>44</v>
      </c>
    </row>
    <row r="17" spans="1:29">
      <c r="B17" s="1" t="s">
        <v>51</v>
      </c>
      <c r="C17" s="1">
        <v>18</v>
      </c>
      <c r="E17" s="1" t="s">
        <v>164</v>
      </c>
      <c r="F17" s="1">
        <v>14.99</v>
      </c>
      <c r="G17" s="1" t="s">
        <v>32</v>
      </c>
      <c r="H17" s="1">
        <f t="shared" si="1"/>
        <v>14.99</v>
      </c>
      <c r="K17" s="1" t="s">
        <v>44</v>
      </c>
    </row>
    <row r="18" spans="1:29">
      <c r="B18" s="1" t="s">
        <v>51</v>
      </c>
      <c r="C18" s="1">
        <v>9</v>
      </c>
      <c r="E18" s="1" t="s">
        <v>48</v>
      </c>
      <c r="F18" s="1">
        <v>14.99</v>
      </c>
      <c r="H18" s="1">
        <f t="shared" si="1"/>
        <v>0</v>
      </c>
      <c r="K18" s="1" t="s">
        <v>44</v>
      </c>
    </row>
    <row r="19" spans="1:29">
      <c r="B19" s="1" t="s">
        <v>189</v>
      </c>
      <c r="C19" s="1">
        <v>20.05</v>
      </c>
      <c r="E19" s="1" t="s">
        <v>49</v>
      </c>
      <c r="F19" s="1">
        <v>14.99</v>
      </c>
      <c r="G19" s="1" t="s">
        <v>32</v>
      </c>
      <c r="H19" s="1">
        <f t="shared" si="1"/>
        <v>14.99</v>
      </c>
      <c r="K19" s="1" t="s">
        <v>44</v>
      </c>
    </row>
    <row r="20" spans="1:29">
      <c r="E20" s="1" t="s">
        <v>50</v>
      </c>
      <c r="F20" s="1">
        <v>10.99</v>
      </c>
      <c r="G20" s="1" t="s">
        <v>32</v>
      </c>
      <c r="H20" s="1">
        <f t="shared" si="1"/>
        <v>10.99</v>
      </c>
      <c r="K20" s="1" t="s">
        <v>44</v>
      </c>
    </row>
    <row r="21" spans="1:29">
      <c r="E21" s="1" t="s">
        <v>51</v>
      </c>
      <c r="F21" s="1">
        <v>104.98</v>
      </c>
      <c r="G21" s="1" t="s">
        <v>32</v>
      </c>
      <c r="H21" s="1">
        <f t="shared" si="1"/>
        <v>104.98</v>
      </c>
      <c r="K21" s="1" t="s">
        <v>52</v>
      </c>
    </row>
    <row r="22" spans="1:29">
      <c r="K22" s="1"/>
    </row>
    <row r="23" spans="1:29">
      <c r="E23" s="1" t="s">
        <v>53</v>
      </c>
      <c r="F23" s="1">
        <v>69.38</v>
      </c>
      <c r="G23" s="1" t="s">
        <v>32</v>
      </c>
      <c r="H23" s="1">
        <f t="shared" ref="H23:H29" si="2">IF(G23="x",F23,0)</f>
        <v>69.38</v>
      </c>
      <c r="K23" s="1" t="s">
        <v>52</v>
      </c>
    </row>
    <row r="24" spans="1:29">
      <c r="E24" s="1" t="s">
        <v>105</v>
      </c>
      <c r="F24" s="1">
        <v>331.65</v>
      </c>
      <c r="G24" s="1" t="s">
        <v>32</v>
      </c>
      <c r="H24" s="1">
        <f t="shared" si="2"/>
        <v>331.65</v>
      </c>
      <c r="K24" s="1" t="s">
        <v>55</v>
      </c>
    </row>
    <row r="25" spans="1:29">
      <c r="E25" s="1" t="s">
        <v>266</v>
      </c>
      <c r="F25" s="1">
        <v>94.53</v>
      </c>
      <c r="G25" s="1" t="s">
        <v>32</v>
      </c>
      <c r="H25" s="1">
        <f t="shared" si="2"/>
        <v>94.53</v>
      </c>
      <c r="K25" s="1" t="s">
        <v>52</v>
      </c>
    </row>
    <row r="26" spans="1:29">
      <c r="E26" s="1" t="s">
        <v>57</v>
      </c>
      <c r="F26" s="1">
        <v>19</v>
      </c>
      <c r="H26" s="1">
        <f t="shared" si="2"/>
        <v>0</v>
      </c>
      <c r="K26" s="1" t="s">
        <v>52</v>
      </c>
    </row>
    <row r="27" spans="1:29">
      <c r="E27" s="1" t="s">
        <v>58</v>
      </c>
      <c r="F27" s="1">
        <v>20</v>
      </c>
      <c r="G27" s="1" t="s">
        <v>32</v>
      </c>
      <c r="H27" s="1">
        <f t="shared" si="2"/>
        <v>20</v>
      </c>
      <c r="K27" s="1" t="s">
        <v>59</v>
      </c>
    </row>
    <row r="28" spans="1:29">
      <c r="E28" s="1" t="s">
        <v>60</v>
      </c>
      <c r="F28" s="1">
        <v>21.99</v>
      </c>
      <c r="G28" s="1" t="s">
        <v>32</v>
      </c>
      <c r="H28" s="1">
        <f t="shared" si="2"/>
        <v>21.99</v>
      </c>
      <c r="K28" s="1" t="s">
        <v>44</v>
      </c>
    </row>
    <row r="29" spans="1:29">
      <c r="H29" s="1">
        <f t="shared" si="2"/>
        <v>0</v>
      </c>
      <c r="K29" s="1" t="s">
        <v>55</v>
      </c>
    </row>
    <row r="30" spans="1:29">
      <c r="E30" s="1" t="s">
        <v>61</v>
      </c>
      <c r="F30" s="1">
        <v>21.4</v>
      </c>
      <c r="G30" s="11" t="s">
        <v>32</v>
      </c>
      <c r="H30" s="10">
        <f>IF(G30="x",F30,0)</f>
        <v>21.4</v>
      </c>
      <c r="K30" s="1" t="s">
        <v>55</v>
      </c>
    </row>
    <row r="31" spans="1:29">
      <c r="E31" s="11" t="s">
        <v>62</v>
      </c>
      <c r="F31" s="10">
        <v>0.99</v>
      </c>
      <c r="G31" s="1" t="s">
        <v>32</v>
      </c>
      <c r="H31" s="1">
        <f t="shared" ref="H31:H38" si="3">IF(G31="x",F31,0)</f>
        <v>0.99</v>
      </c>
      <c r="K31" s="1" t="s">
        <v>44</v>
      </c>
    </row>
    <row r="32" spans="1:29">
      <c r="A32" s="11"/>
      <c r="B32" s="11"/>
      <c r="C32" s="11"/>
      <c r="D32" s="11"/>
      <c r="E32" s="1" t="s">
        <v>62</v>
      </c>
      <c r="F32" s="1">
        <v>0.99</v>
      </c>
      <c r="G32" s="1" t="s">
        <v>32</v>
      </c>
      <c r="H32" s="1">
        <f t="shared" si="3"/>
        <v>0.99</v>
      </c>
      <c r="I32" s="11"/>
      <c r="J32" s="11"/>
      <c r="K32" s="1" t="s">
        <v>44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A33" s="11"/>
      <c r="B33" s="11"/>
      <c r="C33" s="11"/>
      <c r="D33" s="11"/>
      <c r="E33" s="1" t="s">
        <v>62</v>
      </c>
      <c r="F33" s="1">
        <v>16.989999999999998</v>
      </c>
      <c r="G33" s="1" t="s">
        <v>32</v>
      </c>
      <c r="H33" s="1">
        <f t="shared" si="3"/>
        <v>16.989999999999998</v>
      </c>
      <c r="I33" s="11"/>
      <c r="J33" s="11"/>
      <c r="K33" s="1" t="s">
        <v>44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E34" s="1" t="s">
        <v>106</v>
      </c>
      <c r="F34" s="1">
        <v>278.3</v>
      </c>
      <c r="G34" s="1" t="s">
        <v>32</v>
      </c>
      <c r="H34" s="1">
        <f t="shared" si="3"/>
        <v>278.3</v>
      </c>
      <c r="I34" s="11"/>
      <c r="J34" s="11"/>
      <c r="K34" s="1" t="s">
        <v>64</v>
      </c>
    </row>
    <row r="35" spans="1:29">
      <c r="A35" s="1"/>
      <c r="E35" s="1" t="s">
        <v>65</v>
      </c>
      <c r="F35" s="1">
        <v>102</v>
      </c>
      <c r="G35" s="1" t="s">
        <v>32</v>
      </c>
      <c r="H35" s="1">
        <f t="shared" si="3"/>
        <v>102</v>
      </c>
      <c r="K35" s="1" t="s">
        <v>25</v>
      </c>
    </row>
    <row r="36" spans="1:29">
      <c r="A36" s="1"/>
      <c r="C36" s="1"/>
      <c r="E36" s="1" t="s">
        <v>66</v>
      </c>
      <c r="F36" s="1">
        <v>129.86000000000001</v>
      </c>
      <c r="G36" s="1" t="s">
        <v>32</v>
      </c>
      <c r="H36" s="1">
        <f t="shared" si="3"/>
        <v>129.86000000000001</v>
      </c>
      <c r="K36" s="1" t="s">
        <v>25</v>
      </c>
    </row>
    <row r="37" spans="1:29">
      <c r="A37" s="1"/>
      <c r="C37" s="1"/>
      <c r="E37" s="1" t="s">
        <v>67</v>
      </c>
      <c r="F37" s="1">
        <v>19.03</v>
      </c>
      <c r="G37" s="1" t="s">
        <v>32</v>
      </c>
      <c r="H37" s="1">
        <f t="shared" si="3"/>
        <v>19.03</v>
      </c>
      <c r="K37" s="1" t="s">
        <v>26</v>
      </c>
    </row>
    <row r="38" spans="1:29">
      <c r="A38" s="1"/>
      <c r="C38" s="1"/>
      <c r="E38" s="1" t="s">
        <v>68</v>
      </c>
      <c r="F38" s="1">
        <v>33.89</v>
      </c>
      <c r="G38" s="1" t="s">
        <v>32</v>
      </c>
      <c r="H38" s="1">
        <f t="shared" si="3"/>
        <v>33.89</v>
      </c>
      <c r="K38" s="1" t="s">
        <v>26</v>
      </c>
    </row>
    <row r="39" spans="1:29">
      <c r="A39" s="1" t="s">
        <v>69</v>
      </c>
      <c r="C39" s="1" t="e">
        <f>'Avril 2026'!D43</f>
        <v>#REF!</v>
      </c>
      <c r="K39" s="1"/>
    </row>
    <row r="40" spans="1:29">
      <c r="A40" s="1" t="s">
        <v>70</v>
      </c>
      <c r="C40" s="1">
        <f>SUM(C2:C6)</f>
        <v>7483.46</v>
      </c>
      <c r="E40" s="1" t="s">
        <v>71</v>
      </c>
      <c r="F40" s="1">
        <f>SUM(F2:F38)</f>
        <v>4561.6799999999985</v>
      </c>
      <c r="G40" s="1" t="s">
        <v>72</v>
      </c>
      <c r="H40" s="1">
        <f>SUM(H2:H38)</f>
        <v>4527.6899999999987</v>
      </c>
      <c r="I40" s="1" t="s">
        <v>73</v>
      </c>
      <c r="K40" s="1"/>
    </row>
    <row r="41" spans="1:29">
      <c r="A41" s="1" t="s">
        <v>74</v>
      </c>
      <c r="C41" s="1">
        <f>SUM(C8:C35)</f>
        <v>1236.49</v>
      </c>
      <c r="E41" s="1" t="s">
        <v>75</v>
      </c>
      <c r="F41" s="1" t="e">
        <f>C42-F40</f>
        <v>#REF!</v>
      </c>
      <c r="G41" s="1" t="s">
        <v>76</v>
      </c>
      <c r="H41" s="1" t="e">
        <f>C39+C40+C41-H40-F42</f>
        <v>#REF!</v>
      </c>
      <c r="K41" s="1"/>
    </row>
    <row r="42" spans="1:29">
      <c r="A42" s="1" t="s">
        <v>77</v>
      </c>
      <c r="C42" s="1" t="e">
        <f>SUM(C39:C41)</f>
        <v>#REF!</v>
      </c>
      <c r="E42" s="1" t="s">
        <v>78</v>
      </c>
      <c r="F42" s="1">
        <f>SUM(J44:J246)</f>
        <v>4646.7100000000009</v>
      </c>
      <c r="K42" s="1"/>
    </row>
    <row r="43" spans="1:29" ht="15.75" customHeight="1">
      <c r="A43" s="12" t="s">
        <v>79</v>
      </c>
      <c r="B43" s="12" t="e">
        <f>$C$42-$F$40-$F$42</f>
        <v>#REF!</v>
      </c>
      <c r="C43" s="1" t="s">
        <v>80</v>
      </c>
      <c r="D43" s="1" t="e">
        <f>$C$42-$H$40-$F$42</f>
        <v>#REF!</v>
      </c>
      <c r="K43" s="1"/>
    </row>
    <row r="44" spans="1:29">
      <c r="A44" s="1" t="str">
        <f>IF(AND(NOT(ISBLANK(#REF!)),ISBLANK(G44)),"Reste prévu","")</f>
        <v>Reste prévu</v>
      </c>
      <c r="B44" s="1" t="e">
        <f>IF(AND(NOT(ISBLANK(#REF!)),ISBLANK($G44)),$C$42-$F$40-$F$42,"")</f>
        <v>#REF!</v>
      </c>
      <c r="C44" s="1" t="str">
        <f>IF(AND(NOT(ISBLANK(#REF!)),ISBLANK($G44)),"Reste réel","")</f>
        <v>Reste réel</v>
      </c>
      <c r="D44" s="1" t="e">
        <f>IF(AND(NOT(ISBLANK(#REF!)),ISBLANK($G44)),$C$42-$H$40-$F$42,"")</f>
        <v>#REF!</v>
      </c>
      <c r="J44" s="13">
        <f t="shared" ref="J44:J213" si="4">IF(I44="x",H44,0)</f>
        <v>0</v>
      </c>
      <c r="K44" s="1" t="s">
        <v>98</v>
      </c>
    </row>
    <row r="45" spans="1:29">
      <c r="A45" s="1" t="str">
        <f t="shared" ref="A45:A236" si="5">IF(AND(NOT(ISBLANK(G44)),ISBLANK(G45)),"Reste prévu","")</f>
        <v/>
      </c>
      <c r="B45" s="1" t="str">
        <f t="shared" ref="B45:B236" si="6">IF(AND(NOT(ISBLANK($G44)),ISBLANK($G45)),$C$42-$F$40-$F$42,"")</f>
        <v/>
      </c>
      <c r="C45" s="1" t="str">
        <f t="shared" ref="C45:C236" si="7">IF(AND(NOT(ISBLANK($G44)),ISBLANK($G45)),"Reste réel","")</f>
        <v/>
      </c>
      <c r="D45" s="1" t="str">
        <f t="shared" ref="D45:D236" si="8">IF(AND(NOT(ISBLANK($G44)),ISBLANK($G45)),$C$42-$H$40-$F$42,"")</f>
        <v/>
      </c>
      <c r="J45" s="13">
        <f t="shared" si="4"/>
        <v>0</v>
      </c>
      <c r="K45" s="1" t="s">
        <v>59</v>
      </c>
    </row>
    <row r="46" spans="1:29">
      <c r="A46" s="1" t="str">
        <f t="shared" si="5"/>
        <v/>
      </c>
      <c r="B46" s="1" t="str">
        <f t="shared" si="6"/>
        <v/>
      </c>
      <c r="C46" s="1" t="str">
        <f t="shared" si="7"/>
        <v/>
      </c>
      <c r="D46" s="1" t="str">
        <f t="shared" si="8"/>
        <v/>
      </c>
      <c r="G46" s="1" t="s">
        <v>267</v>
      </c>
      <c r="H46" s="1">
        <v>12.98</v>
      </c>
      <c r="I46" s="1" t="s">
        <v>32</v>
      </c>
      <c r="J46" s="13">
        <f t="shared" si="4"/>
        <v>12.98</v>
      </c>
      <c r="K46" s="1" t="s">
        <v>59</v>
      </c>
    </row>
    <row r="47" spans="1:29">
      <c r="A47" s="1" t="str">
        <f t="shared" si="5"/>
        <v/>
      </c>
      <c r="B47" s="1" t="str">
        <f t="shared" si="6"/>
        <v/>
      </c>
      <c r="C47" s="1" t="str">
        <f t="shared" si="7"/>
        <v/>
      </c>
      <c r="D47" s="1" t="str">
        <f t="shared" si="8"/>
        <v/>
      </c>
      <c r="G47" s="1" t="s">
        <v>87</v>
      </c>
      <c r="H47" s="1">
        <v>66.400000000000006</v>
      </c>
      <c r="I47" s="1" t="s">
        <v>32</v>
      </c>
      <c r="J47" s="13">
        <f t="shared" si="4"/>
        <v>66.400000000000006</v>
      </c>
      <c r="K47" s="1" t="s">
        <v>24</v>
      </c>
    </row>
    <row r="48" spans="1:29">
      <c r="A48" s="1" t="str">
        <f t="shared" si="5"/>
        <v/>
      </c>
      <c r="B48" s="1" t="str">
        <f t="shared" si="6"/>
        <v/>
      </c>
      <c r="C48" s="1" t="str">
        <f t="shared" si="7"/>
        <v/>
      </c>
      <c r="D48" s="1" t="str">
        <f t="shared" si="8"/>
        <v/>
      </c>
      <c r="G48" s="1" t="s">
        <v>87</v>
      </c>
      <c r="H48" s="1">
        <v>84.83</v>
      </c>
      <c r="I48" s="1" t="s">
        <v>32</v>
      </c>
      <c r="J48" s="13">
        <f t="shared" si="4"/>
        <v>84.83</v>
      </c>
      <c r="K48" s="1" t="s">
        <v>24</v>
      </c>
    </row>
    <row r="49" spans="1:11">
      <c r="A49" s="1" t="str">
        <f t="shared" si="5"/>
        <v/>
      </c>
      <c r="B49" s="1" t="str">
        <f t="shared" si="6"/>
        <v/>
      </c>
      <c r="C49" s="1" t="str">
        <f t="shared" si="7"/>
        <v/>
      </c>
      <c r="D49" s="1" t="str">
        <f t="shared" si="8"/>
        <v/>
      </c>
      <c r="G49" s="1" t="s">
        <v>192</v>
      </c>
      <c r="H49" s="1">
        <v>21.98</v>
      </c>
      <c r="I49" s="1" t="s">
        <v>32</v>
      </c>
      <c r="J49" s="13">
        <f t="shared" si="4"/>
        <v>21.98</v>
      </c>
      <c r="K49" s="1" t="s">
        <v>83</v>
      </c>
    </row>
    <row r="50" spans="1:11">
      <c r="A50" s="1" t="str">
        <f t="shared" si="5"/>
        <v/>
      </c>
      <c r="B50" s="1" t="str">
        <f t="shared" si="6"/>
        <v/>
      </c>
      <c r="C50" s="1" t="str">
        <f t="shared" si="7"/>
        <v/>
      </c>
      <c r="D50" s="1" t="str">
        <f t="shared" si="8"/>
        <v/>
      </c>
      <c r="G50" s="1" t="s">
        <v>268</v>
      </c>
      <c r="H50" s="1">
        <v>49.98</v>
      </c>
      <c r="I50" s="1" t="s">
        <v>32</v>
      </c>
      <c r="J50" s="13">
        <f t="shared" si="4"/>
        <v>49.98</v>
      </c>
      <c r="K50" s="1" t="s">
        <v>59</v>
      </c>
    </row>
    <row r="51" spans="1:11">
      <c r="A51" s="1" t="str">
        <f t="shared" si="5"/>
        <v/>
      </c>
      <c r="B51" s="1" t="str">
        <f t="shared" si="6"/>
        <v/>
      </c>
      <c r="C51" s="1" t="str">
        <f t="shared" si="7"/>
        <v/>
      </c>
      <c r="D51" s="1" t="str">
        <f t="shared" si="8"/>
        <v/>
      </c>
      <c r="G51" s="1" t="s">
        <v>269</v>
      </c>
      <c r="H51" s="1">
        <v>1.9</v>
      </c>
      <c r="I51" s="1" t="s">
        <v>32</v>
      </c>
      <c r="J51" s="13">
        <f t="shared" si="4"/>
        <v>1.9</v>
      </c>
      <c r="K51" s="1" t="s">
        <v>24</v>
      </c>
    </row>
    <row r="52" spans="1:11">
      <c r="A52" s="1" t="str">
        <f t="shared" si="5"/>
        <v/>
      </c>
      <c r="B52" s="1" t="str">
        <f t="shared" si="6"/>
        <v/>
      </c>
      <c r="C52" s="1" t="str">
        <f t="shared" si="7"/>
        <v/>
      </c>
      <c r="D52" s="1" t="str">
        <f t="shared" si="8"/>
        <v/>
      </c>
      <c r="G52" s="1" t="s">
        <v>269</v>
      </c>
      <c r="H52" s="1">
        <v>2.7</v>
      </c>
      <c r="I52" s="1" t="s">
        <v>32</v>
      </c>
      <c r="J52" s="13">
        <f t="shared" si="4"/>
        <v>2.7</v>
      </c>
      <c r="K52" s="1" t="s">
        <v>24</v>
      </c>
    </row>
    <row r="53" spans="1:11">
      <c r="A53" s="1" t="str">
        <f t="shared" si="5"/>
        <v/>
      </c>
      <c r="B53" s="1" t="str">
        <f t="shared" si="6"/>
        <v/>
      </c>
      <c r="C53" s="1" t="str">
        <f t="shared" si="7"/>
        <v/>
      </c>
      <c r="D53" s="1" t="str">
        <f t="shared" si="8"/>
        <v/>
      </c>
      <c r="G53" s="1" t="s">
        <v>269</v>
      </c>
      <c r="H53" s="1">
        <v>3.5</v>
      </c>
      <c r="I53" s="1" t="s">
        <v>32</v>
      </c>
      <c r="J53" s="13">
        <f t="shared" si="4"/>
        <v>3.5</v>
      </c>
      <c r="K53" s="1" t="s">
        <v>24</v>
      </c>
    </row>
    <row r="54" spans="1:11">
      <c r="A54" s="1" t="str">
        <f t="shared" si="5"/>
        <v/>
      </c>
      <c r="B54" s="1" t="str">
        <f t="shared" si="6"/>
        <v/>
      </c>
      <c r="C54" s="1" t="str">
        <f t="shared" si="7"/>
        <v/>
      </c>
      <c r="D54" s="1" t="str">
        <f t="shared" si="8"/>
        <v/>
      </c>
      <c r="G54" s="1" t="s">
        <v>270</v>
      </c>
      <c r="H54" s="1">
        <v>11</v>
      </c>
      <c r="I54" s="1" t="s">
        <v>32</v>
      </c>
      <c r="J54" s="13">
        <f t="shared" si="4"/>
        <v>11</v>
      </c>
      <c r="K54" s="1" t="s">
        <v>55</v>
      </c>
    </row>
    <row r="55" spans="1:11">
      <c r="A55" s="1" t="str">
        <f t="shared" si="5"/>
        <v/>
      </c>
      <c r="B55" s="1" t="str">
        <f t="shared" si="6"/>
        <v/>
      </c>
      <c r="C55" s="1" t="str">
        <f t="shared" si="7"/>
        <v/>
      </c>
      <c r="D55" s="1" t="str">
        <f t="shared" si="8"/>
        <v/>
      </c>
      <c r="G55" s="1" t="s">
        <v>271</v>
      </c>
      <c r="H55" s="1">
        <v>22.4</v>
      </c>
      <c r="I55" s="1" t="s">
        <v>32</v>
      </c>
      <c r="J55" s="13">
        <f t="shared" si="4"/>
        <v>22.4</v>
      </c>
      <c r="K55" s="1" t="s">
        <v>24</v>
      </c>
    </row>
    <row r="56" spans="1:11">
      <c r="A56" s="1" t="str">
        <f t="shared" si="5"/>
        <v/>
      </c>
      <c r="B56" s="1" t="str">
        <f t="shared" si="6"/>
        <v/>
      </c>
      <c r="C56" s="1" t="str">
        <f t="shared" si="7"/>
        <v/>
      </c>
      <c r="D56" s="1" t="str">
        <f t="shared" si="8"/>
        <v/>
      </c>
      <c r="G56" s="1" t="s">
        <v>272</v>
      </c>
      <c r="H56" s="1">
        <v>44</v>
      </c>
      <c r="I56" s="1" t="s">
        <v>32</v>
      </c>
      <c r="J56" s="13">
        <f t="shared" si="4"/>
        <v>44</v>
      </c>
      <c r="K56" s="1" t="s">
        <v>55</v>
      </c>
    </row>
    <row r="57" spans="1:11">
      <c r="A57" s="1" t="str">
        <f t="shared" si="5"/>
        <v/>
      </c>
      <c r="B57" s="1" t="str">
        <f t="shared" si="6"/>
        <v/>
      </c>
      <c r="C57" s="1" t="str">
        <f t="shared" si="7"/>
        <v/>
      </c>
      <c r="D57" s="1" t="str">
        <f t="shared" si="8"/>
        <v/>
      </c>
      <c r="G57" s="1" t="s">
        <v>273</v>
      </c>
      <c r="H57" s="1">
        <v>15.78</v>
      </c>
      <c r="I57" s="1" t="s">
        <v>32</v>
      </c>
      <c r="J57" s="13">
        <f t="shared" si="4"/>
        <v>15.78</v>
      </c>
      <c r="K57" s="1" t="s">
        <v>24</v>
      </c>
    </row>
    <row r="58" spans="1:11">
      <c r="A58" s="1" t="str">
        <f t="shared" si="5"/>
        <v/>
      </c>
      <c r="B58" s="1" t="str">
        <f t="shared" si="6"/>
        <v/>
      </c>
      <c r="C58" s="1" t="str">
        <f t="shared" si="7"/>
        <v/>
      </c>
      <c r="D58" s="1" t="str">
        <f t="shared" si="8"/>
        <v/>
      </c>
      <c r="G58" s="1" t="s">
        <v>274</v>
      </c>
      <c r="H58" s="1">
        <v>30</v>
      </c>
      <c r="I58" s="1" t="s">
        <v>32</v>
      </c>
      <c r="J58" s="13">
        <f t="shared" si="4"/>
        <v>30</v>
      </c>
      <c r="K58" s="1" t="s">
        <v>198</v>
      </c>
    </row>
    <row r="59" spans="1:11">
      <c r="A59" s="1" t="str">
        <f t="shared" si="5"/>
        <v/>
      </c>
      <c r="B59" s="1" t="str">
        <f t="shared" si="6"/>
        <v/>
      </c>
      <c r="C59" s="1" t="str">
        <f t="shared" si="7"/>
        <v/>
      </c>
      <c r="D59" s="1" t="str">
        <f t="shared" si="8"/>
        <v/>
      </c>
      <c r="G59" s="1" t="s">
        <v>275</v>
      </c>
      <c r="H59" s="1">
        <v>58.9</v>
      </c>
      <c r="I59" s="1" t="s">
        <v>32</v>
      </c>
      <c r="J59" s="13">
        <f t="shared" si="4"/>
        <v>58.9</v>
      </c>
      <c r="K59" s="1" t="s">
        <v>198</v>
      </c>
    </row>
    <row r="60" spans="1:11">
      <c r="A60" s="1" t="str">
        <f t="shared" si="5"/>
        <v/>
      </c>
      <c r="B60" s="1" t="str">
        <f t="shared" si="6"/>
        <v/>
      </c>
      <c r="C60" s="1" t="str">
        <f t="shared" si="7"/>
        <v/>
      </c>
      <c r="D60" s="1" t="str">
        <f t="shared" si="8"/>
        <v/>
      </c>
      <c r="G60" s="1" t="s">
        <v>276</v>
      </c>
      <c r="H60" s="1">
        <v>70.5</v>
      </c>
      <c r="I60" s="1" t="s">
        <v>32</v>
      </c>
      <c r="J60" s="13">
        <f t="shared" si="4"/>
        <v>70.5</v>
      </c>
      <c r="K60" s="1" t="s">
        <v>98</v>
      </c>
    </row>
    <row r="61" spans="1:11">
      <c r="A61" s="1" t="str">
        <f t="shared" si="5"/>
        <v/>
      </c>
      <c r="B61" s="1" t="str">
        <f t="shared" si="6"/>
        <v/>
      </c>
      <c r="C61" s="1" t="str">
        <f t="shared" si="7"/>
        <v/>
      </c>
      <c r="D61" s="1" t="str">
        <f t="shared" si="8"/>
        <v/>
      </c>
      <c r="G61" s="1" t="s">
        <v>277</v>
      </c>
      <c r="H61" s="1">
        <v>2.7</v>
      </c>
      <c r="I61" s="1" t="s">
        <v>32</v>
      </c>
      <c r="J61" s="13">
        <f t="shared" si="4"/>
        <v>2.7</v>
      </c>
      <c r="K61" s="1" t="s">
        <v>24</v>
      </c>
    </row>
    <row r="62" spans="1:11">
      <c r="A62" s="1" t="str">
        <f t="shared" si="5"/>
        <v/>
      </c>
      <c r="B62" s="1" t="str">
        <f t="shared" si="6"/>
        <v/>
      </c>
      <c r="C62" s="1" t="str">
        <f t="shared" si="7"/>
        <v/>
      </c>
      <c r="D62" s="1" t="str">
        <f t="shared" si="8"/>
        <v/>
      </c>
      <c r="G62" s="1" t="s">
        <v>277</v>
      </c>
      <c r="H62" s="1">
        <v>2.7</v>
      </c>
      <c r="I62" s="1" t="s">
        <v>32</v>
      </c>
      <c r="J62" s="13">
        <f t="shared" si="4"/>
        <v>2.7</v>
      </c>
      <c r="K62" s="1" t="s">
        <v>24</v>
      </c>
    </row>
    <row r="63" spans="1:11">
      <c r="A63" s="1" t="str">
        <f t="shared" si="5"/>
        <v/>
      </c>
      <c r="B63" s="1" t="str">
        <f t="shared" si="6"/>
        <v/>
      </c>
      <c r="C63" s="1" t="str">
        <f t="shared" si="7"/>
        <v/>
      </c>
      <c r="D63" s="1" t="str">
        <f t="shared" si="8"/>
        <v/>
      </c>
      <c r="G63" s="1" t="s">
        <v>277</v>
      </c>
      <c r="H63" s="1">
        <v>1.9</v>
      </c>
      <c r="I63" s="1" t="s">
        <v>32</v>
      </c>
      <c r="J63" s="13">
        <f t="shared" si="4"/>
        <v>1.9</v>
      </c>
      <c r="K63" s="1" t="s">
        <v>24</v>
      </c>
    </row>
    <row r="64" spans="1:11">
      <c r="A64" s="1" t="str">
        <f t="shared" si="5"/>
        <v/>
      </c>
      <c r="B64" s="1" t="str">
        <f t="shared" si="6"/>
        <v/>
      </c>
      <c r="C64" s="1" t="str">
        <f t="shared" si="7"/>
        <v/>
      </c>
      <c r="D64" s="1" t="str">
        <f t="shared" si="8"/>
        <v/>
      </c>
      <c r="G64" s="1" t="s">
        <v>277</v>
      </c>
      <c r="H64" s="1">
        <v>20.7</v>
      </c>
      <c r="I64" s="1" t="s">
        <v>32</v>
      </c>
      <c r="J64" s="13">
        <f t="shared" si="4"/>
        <v>20.7</v>
      </c>
      <c r="K64" s="1" t="s">
        <v>24</v>
      </c>
    </row>
    <row r="65" spans="1:11">
      <c r="A65" s="1" t="str">
        <f t="shared" si="5"/>
        <v/>
      </c>
      <c r="B65" s="1" t="str">
        <f t="shared" si="6"/>
        <v/>
      </c>
      <c r="C65" s="1" t="str">
        <f t="shared" si="7"/>
        <v/>
      </c>
      <c r="D65" s="1" t="str">
        <f t="shared" si="8"/>
        <v/>
      </c>
      <c r="G65" s="1" t="s">
        <v>270</v>
      </c>
      <c r="H65" s="1">
        <v>55</v>
      </c>
      <c r="I65" s="1" t="s">
        <v>32</v>
      </c>
      <c r="J65" s="13">
        <f t="shared" si="4"/>
        <v>55</v>
      </c>
      <c r="K65" s="1" t="s">
        <v>55</v>
      </c>
    </row>
    <row r="66" spans="1:11">
      <c r="A66" s="1" t="str">
        <f t="shared" si="5"/>
        <v/>
      </c>
      <c r="B66" s="1" t="str">
        <f t="shared" si="6"/>
        <v/>
      </c>
      <c r="C66" s="1" t="str">
        <f t="shared" si="7"/>
        <v/>
      </c>
      <c r="D66" s="1" t="str">
        <f t="shared" si="8"/>
        <v/>
      </c>
      <c r="G66" s="1" t="s">
        <v>278</v>
      </c>
      <c r="H66" s="1">
        <v>9.8000000000000007</v>
      </c>
      <c r="I66" s="1" t="s">
        <v>32</v>
      </c>
      <c r="J66" s="13">
        <f t="shared" si="4"/>
        <v>9.8000000000000007</v>
      </c>
      <c r="K66" s="1" t="s">
        <v>24</v>
      </c>
    </row>
    <row r="67" spans="1:11">
      <c r="A67" s="1" t="str">
        <f t="shared" si="5"/>
        <v/>
      </c>
      <c r="B67" s="1" t="str">
        <f t="shared" si="6"/>
        <v/>
      </c>
      <c r="C67" s="1" t="str">
        <f t="shared" si="7"/>
        <v/>
      </c>
      <c r="D67" s="1" t="str">
        <f t="shared" si="8"/>
        <v/>
      </c>
      <c r="G67" s="1" t="s">
        <v>279</v>
      </c>
      <c r="H67" s="1">
        <v>0.42</v>
      </c>
      <c r="I67" s="1" t="s">
        <v>32</v>
      </c>
      <c r="J67" s="13">
        <f t="shared" si="4"/>
        <v>0.42</v>
      </c>
      <c r="K67" s="1" t="s">
        <v>52</v>
      </c>
    </row>
    <row r="68" spans="1:11">
      <c r="A68" s="1" t="str">
        <f t="shared" si="5"/>
        <v/>
      </c>
      <c r="B68" s="1" t="str">
        <f t="shared" si="6"/>
        <v/>
      </c>
      <c r="C68" s="1" t="str">
        <f t="shared" si="7"/>
        <v/>
      </c>
      <c r="D68" s="1" t="str">
        <f t="shared" si="8"/>
        <v/>
      </c>
      <c r="G68" s="1" t="s">
        <v>152</v>
      </c>
      <c r="H68" s="1">
        <v>3.4</v>
      </c>
      <c r="I68" s="1" t="s">
        <v>32</v>
      </c>
      <c r="J68" s="13">
        <f t="shared" si="4"/>
        <v>3.4</v>
      </c>
      <c r="K68" s="1" t="s">
        <v>55</v>
      </c>
    </row>
    <row r="69" spans="1:11">
      <c r="A69" s="1" t="str">
        <f t="shared" si="5"/>
        <v/>
      </c>
      <c r="B69" s="1" t="str">
        <f t="shared" si="6"/>
        <v/>
      </c>
      <c r="C69" s="1" t="str">
        <f t="shared" si="7"/>
        <v/>
      </c>
      <c r="D69" s="1" t="str">
        <f t="shared" si="8"/>
        <v/>
      </c>
      <c r="G69" s="1" t="s">
        <v>280</v>
      </c>
      <c r="H69" s="1">
        <v>0.5</v>
      </c>
      <c r="I69" s="1" t="s">
        <v>32</v>
      </c>
      <c r="J69" s="13">
        <f t="shared" si="4"/>
        <v>0.5</v>
      </c>
      <c r="K69" s="1" t="s">
        <v>24</v>
      </c>
    </row>
    <row r="70" spans="1:11">
      <c r="A70" s="1" t="str">
        <f t="shared" si="5"/>
        <v/>
      </c>
      <c r="B70" s="1" t="str">
        <f t="shared" si="6"/>
        <v/>
      </c>
      <c r="C70" s="1" t="str">
        <f t="shared" si="7"/>
        <v/>
      </c>
      <c r="D70" s="1" t="str">
        <f t="shared" si="8"/>
        <v/>
      </c>
      <c r="G70" s="1" t="s">
        <v>281</v>
      </c>
      <c r="H70" s="1">
        <v>11.4</v>
      </c>
      <c r="I70" s="1" t="s">
        <v>32</v>
      </c>
      <c r="J70" s="13">
        <f t="shared" si="4"/>
        <v>11.4</v>
      </c>
      <c r="K70" s="1" t="s">
        <v>24</v>
      </c>
    </row>
    <row r="71" spans="1:11">
      <c r="A71" s="1" t="str">
        <f t="shared" si="5"/>
        <v/>
      </c>
      <c r="B71" s="1" t="str">
        <f t="shared" si="6"/>
        <v/>
      </c>
      <c r="C71" s="1" t="str">
        <f t="shared" si="7"/>
        <v/>
      </c>
      <c r="D71" s="1" t="str">
        <f t="shared" si="8"/>
        <v/>
      </c>
      <c r="G71" s="1" t="s">
        <v>115</v>
      </c>
      <c r="H71" s="1">
        <v>13</v>
      </c>
      <c r="I71" s="1" t="s">
        <v>32</v>
      </c>
      <c r="J71" s="13">
        <f t="shared" si="4"/>
        <v>13</v>
      </c>
      <c r="K71" s="1" t="s">
        <v>59</v>
      </c>
    </row>
    <row r="72" spans="1:11">
      <c r="A72" s="1" t="str">
        <f t="shared" si="5"/>
        <v/>
      </c>
      <c r="B72" s="1" t="str">
        <f t="shared" si="6"/>
        <v/>
      </c>
      <c r="C72" s="1" t="str">
        <f t="shared" si="7"/>
        <v/>
      </c>
      <c r="D72" s="1" t="str">
        <f t="shared" si="8"/>
        <v/>
      </c>
      <c r="G72" s="1" t="s">
        <v>282</v>
      </c>
      <c r="H72" s="1">
        <v>34</v>
      </c>
      <c r="I72" s="1" t="s">
        <v>32</v>
      </c>
      <c r="J72" s="13">
        <f t="shared" si="4"/>
        <v>34</v>
      </c>
      <c r="K72" s="1" t="s">
        <v>55</v>
      </c>
    </row>
    <row r="73" spans="1:11">
      <c r="A73" s="1" t="str">
        <f t="shared" si="5"/>
        <v/>
      </c>
      <c r="B73" s="1" t="str">
        <f t="shared" si="6"/>
        <v/>
      </c>
      <c r="C73" s="1" t="str">
        <f t="shared" si="7"/>
        <v/>
      </c>
      <c r="D73" s="1" t="str">
        <f t="shared" si="8"/>
        <v/>
      </c>
      <c r="G73" s="1" t="s">
        <v>283</v>
      </c>
      <c r="H73" s="1">
        <v>77</v>
      </c>
      <c r="I73" s="1" t="s">
        <v>32</v>
      </c>
      <c r="J73" s="13">
        <f t="shared" si="4"/>
        <v>77</v>
      </c>
      <c r="K73" s="1" t="s">
        <v>59</v>
      </c>
    </row>
    <row r="74" spans="1:11">
      <c r="A74" s="1" t="str">
        <f t="shared" si="5"/>
        <v/>
      </c>
      <c r="B74" s="1" t="str">
        <f t="shared" si="6"/>
        <v/>
      </c>
      <c r="C74" s="1" t="str">
        <f t="shared" si="7"/>
        <v/>
      </c>
      <c r="D74" s="1" t="str">
        <f t="shared" si="8"/>
        <v/>
      </c>
      <c r="G74" s="1" t="s">
        <v>251</v>
      </c>
      <c r="H74" s="1">
        <v>100</v>
      </c>
      <c r="I74" s="1" t="s">
        <v>32</v>
      </c>
      <c r="J74" s="13">
        <f t="shared" si="4"/>
        <v>100</v>
      </c>
      <c r="K74" s="1" t="s">
        <v>198</v>
      </c>
    </row>
    <row r="75" spans="1:11">
      <c r="A75" s="1" t="str">
        <f t="shared" si="5"/>
        <v/>
      </c>
      <c r="B75" s="1" t="str">
        <f t="shared" si="6"/>
        <v/>
      </c>
      <c r="C75" s="1" t="str">
        <f t="shared" si="7"/>
        <v/>
      </c>
      <c r="D75" s="1" t="str">
        <f t="shared" si="8"/>
        <v/>
      </c>
      <c r="G75" s="1" t="s">
        <v>111</v>
      </c>
      <c r="H75" s="1">
        <v>6.27</v>
      </c>
      <c r="I75" s="1" t="s">
        <v>32</v>
      </c>
      <c r="J75" s="13">
        <f t="shared" si="4"/>
        <v>6.27</v>
      </c>
      <c r="K75" s="1" t="s">
        <v>24</v>
      </c>
    </row>
    <row r="76" spans="1:11">
      <c r="A76" s="1" t="str">
        <f t="shared" si="5"/>
        <v/>
      </c>
      <c r="B76" s="1" t="str">
        <f t="shared" si="6"/>
        <v/>
      </c>
      <c r="C76" s="1" t="str">
        <f t="shared" si="7"/>
        <v/>
      </c>
      <c r="D76" s="1" t="str">
        <f t="shared" si="8"/>
        <v/>
      </c>
      <c r="G76" s="1" t="s">
        <v>87</v>
      </c>
      <c r="H76" s="1">
        <v>201.42</v>
      </c>
      <c r="I76" s="1" t="s">
        <v>32</v>
      </c>
      <c r="J76" s="13">
        <f t="shared" si="4"/>
        <v>201.42</v>
      </c>
      <c r="K76" s="1" t="s">
        <v>24</v>
      </c>
    </row>
    <row r="77" spans="1:11">
      <c r="A77" s="1" t="str">
        <f t="shared" si="5"/>
        <v/>
      </c>
      <c r="B77" s="1" t="str">
        <f t="shared" si="6"/>
        <v/>
      </c>
      <c r="C77" s="1" t="str">
        <f t="shared" si="7"/>
        <v/>
      </c>
      <c r="D77" s="1" t="str">
        <f t="shared" si="8"/>
        <v/>
      </c>
      <c r="G77" s="1" t="s">
        <v>284</v>
      </c>
      <c r="H77" s="1">
        <v>25</v>
      </c>
      <c r="I77" s="1" t="s">
        <v>32</v>
      </c>
      <c r="J77" s="13">
        <f t="shared" si="4"/>
        <v>25</v>
      </c>
      <c r="K77" s="1" t="s">
        <v>59</v>
      </c>
    </row>
    <row r="78" spans="1:11">
      <c r="A78" s="1" t="str">
        <f t="shared" si="5"/>
        <v/>
      </c>
      <c r="B78" s="1" t="str">
        <f t="shared" si="6"/>
        <v/>
      </c>
      <c r="C78" s="1" t="str">
        <f t="shared" si="7"/>
        <v/>
      </c>
      <c r="D78" s="1" t="str">
        <f t="shared" si="8"/>
        <v/>
      </c>
      <c r="G78" s="1" t="s">
        <v>87</v>
      </c>
      <c r="H78" s="1">
        <v>36.81</v>
      </c>
      <c r="I78" s="1" t="s">
        <v>32</v>
      </c>
      <c r="J78" s="13">
        <f t="shared" si="4"/>
        <v>36.81</v>
      </c>
      <c r="K78" s="1" t="s">
        <v>24</v>
      </c>
    </row>
    <row r="79" spans="1:11">
      <c r="A79" s="1" t="str">
        <f t="shared" si="5"/>
        <v/>
      </c>
      <c r="B79" s="1" t="str">
        <f t="shared" si="6"/>
        <v/>
      </c>
      <c r="C79" s="1" t="str">
        <f t="shared" si="7"/>
        <v/>
      </c>
      <c r="D79" s="1" t="str">
        <f t="shared" si="8"/>
        <v/>
      </c>
      <c r="G79" s="1" t="s">
        <v>285</v>
      </c>
      <c r="H79" s="1">
        <v>87.9</v>
      </c>
      <c r="I79" s="1" t="s">
        <v>32</v>
      </c>
      <c r="J79" s="13">
        <f t="shared" si="4"/>
        <v>87.9</v>
      </c>
      <c r="K79" s="1" t="s">
        <v>29</v>
      </c>
    </row>
    <row r="80" spans="1:11">
      <c r="A80" s="1" t="str">
        <f t="shared" si="5"/>
        <v/>
      </c>
      <c r="B80" s="1" t="str">
        <f t="shared" si="6"/>
        <v/>
      </c>
      <c r="C80" s="1" t="str">
        <f t="shared" si="7"/>
        <v/>
      </c>
      <c r="D80" s="1" t="str">
        <f t="shared" si="8"/>
        <v/>
      </c>
      <c r="G80" s="1" t="s">
        <v>286</v>
      </c>
      <c r="H80" s="1">
        <v>109.99</v>
      </c>
      <c r="I80" s="1" t="s">
        <v>32</v>
      </c>
      <c r="J80" s="13">
        <f t="shared" si="4"/>
        <v>109.99</v>
      </c>
      <c r="K80" s="1" t="s">
        <v>29</v>
      </c>
    </row>
    <row r="81" spans="1:11">
      <c r="A81" s="1" t="str">
        <f t="shared" si="5"/>
        <v/>
      </c>
      <c r="B81" s="1" t="str">
        <f t="shared" si="6"/>
        <v/>
      </c>
      <c r="C81" s="1" t="str">
        <f t="shared" si="7"/>
        <v/>
      </c>
      <c r="D81" s="1" t="str">
        <f t="shared" si="8"/>
        <v/>
      </c>
      <c r="G81" s="1" t="s">
        <v>207</v>
      </c>
      <c r="H81" s="1">
        <v>6.38</v>
      </c>
      <c r="I81" s="1" t="s">
        <v>32</v>
      </c>
      <c r="J81" s="13">
        <f t="shared" si="4"/>
        <v>6.38</v>
      </c>
      <c r="K81" s="1" t="s">
        <v>59</v>
      </c>
    </row>
    <row r="82" spans="1:11">
      <c r="A82" s="1" t="str">
        <f t="shared" si="5"/>
        <v/>
      </c>
      <c r="B82" s="1" t="str">
        <f t="shared" si="6"/>
        <v/>
      </c>
      <c r="C82" s="1" t="str">
        <f t="shared" si="7"/>
        <v/>
      </c>
      <c r="D82" s="1" t="str">
        <f t="shared" si="8"/>
        <v/>
      </c>
      <c r="G82" s="1" t="s">
        <v>207</v>
      </c>
      <c r="H82" s="1">
        <v>19.64</v>
      </c>
      <c r="I82" s="1" t="s">
        <v>32</v>
      </c>
      <c r="J82" s="13">
        <f t="shared" si="4"/>
        <v>19.64</v>
      </c>
      <c r="K82" s="1" t="s">
        <v>59</v>
      </c>
    </row>
    <row r="83" spans="1:11">
      <c r="A83" s="1" t="str">
        <f t="shared" si="5"/>
        <v/>
      </c>
      <c r="B83" s="1" t="str">
        <f t="shared" si="6"/>
        <v/>
      </c>
      <c r="C83" s="1" t="str">
        <f t="shared" si="7"/>
        <v/>
      </c>
      <c r="D83" s="1" t="str">
        <f t="shared" si="8"/>
        <v/>
      </c>
      <c r="G83" s="1" t="s">
        <v>287</v>
      </c>
      <c r="H83" s="1">
        <v>50</v>
      </c>
      <c r="I83" s="1" t="s">
        <v>32</v>
      </c>
      <c r="J83" s="13">
        <f t="shared" si="4"/>
        <v>50</v>
      </c>
      <c r="K83" s="1" t="s">
        <v>24</v>
      </c>
    </row>
    <row r="84" spans="1:11">
      <c r="A84" s="1" t="str">
        <f t="shared" si="5"/>
        <v/>
      </c>
      <c r="B84" s="1" t="str">
        <f t="shared" si="6"/>
        <v/>
      </c>
      <c r="C84" s="1" t="str">
        <f t="shared" si="7"/>
        <v/>
      </c>
      <c r="D84" s="1" t="str">
        <f t="shared" si="8"/>
        <v/>
      </c>
      <c r="G84" s="1" t="s">
        <v>288</v>
      </c>
      <c r="H84" s="1">
        <v>53</v>
      </c>
      <c r="I84" s="1" t="s">
        <v>32</v>
      </c>
      <c r="J84" s="13">
        <f t="shared" si="4"/>
        <v>53</v>
      </c>
      <c r="K84" s="1" t="s">
        <v>24</v>
      </c>
    </row>
    <row r="85" spans="1:11">
      <c r="A85" s="1" t="str">
        <f t="shared" si="5"/>
        <v/>
      </c>
      <c r="B85" s="1" t="str">
        <f t="shared" si="6"/>
        <v/>
      </c>
      <c r="C85" s="1" t="str">
        <f t="shared" si="7"/>
        <v/>
      </c>
      <c r="D85" s="1" t="str">
        <f t="shared" si="8"/>
        <v/>
      </c>
      <c r="G85" s="1" t="s">
        <v>94</v>
      </c>
      <c r="H85" s="1">
        <v>46.39</v>
      </c>
      <c r="I85" s="1" t="s">
        <v>32</v>
      </c>
      <c r="J85" s="13">
        <f t="shared" si="4"/>
        <v>46.39</v>
      </c>
      <c r="K85" s="1" t="s">
        <v>98</v>
      </c>
    </row>
    <row r="86" spans="1:11">
      <c r="A86" s="1" t="str">
        <f t="shared" si="5"/>
        <v/>
      </c>
      <c r="B86" s="1" t="str">
        <f t="shared" si="6"/>
        <v/>
      </c>
      <c r="C86" s="1" t="str">
        <f t="shared" si="7"/>
        <v/>
      </c>
      <c r="D86" s="1" t="str">
        <f t="shared" si="8"/>
        <v/>
      </c>
      <c r="G86" s="14" t="s">
        <v>289</v>
      </c>
      <c r="H86" s="1">
        <v>10.25</v>
      </c>
      <c r="I86" s="1" t="s">
        <v>32</v>
      </c>
      <c r="J86" s="13">
        <f t="shared" si="4"/>
        <v>10.25</v>
      </c>
      <c r="K86" s="1" t="s">
        <v>24</v>
      </c>
    </row>
    <row r="87" spans="1:11">
      <c r="A87" s="1" t="str">
        <f t="shared" si="5"/>
        <v/>
      </c>
      <c r="B87" s="1" t="str">
        <f t="shared" si="6"/>
        <v/>
      </c>
      <c r="C87" s="1" t="str">
        <f t="shared" si="7"/>
        <v/>
      </c>
      <c r="D87" s="1" t="str">
        <f t="shared" si="8"/>
        <v/>
      </c>
      <c r="G87" s="1" t="s">
        <v>290</v>
      </c>
      <c r="H87" s="1">
        <v>26.2</v>
      </c>
      <c r="I87" s="1" t="s">
        <v>32</v>
      </c>
      <c r="J87" s="13">
        <f t="shared" si="4"/>
        <v>26.2</v>
      </c>
      <c r="K87" s="1" t="s">
        <v>24</v>
      </c>
    </row>
    <row r="88" spans="1:11">
      <c r="A88" s="1" t="str">
        <f t="shared" si="5"/>
        <v/>
      </c>
      <c r="B88" s="1" t="str">
        <f t="shared" si="6"/>
        <v/>
      </c>
      <c r="C88" s="1" t="str">
        <f t="shared" si="7"/>
        <v/>
      </c>
      <c r="D88" s="1" t="str">
        <f t="shared" si="8"/>
        <v/>
      </c>
      <c r="G88" s="1" t="s">
        <v>291</v>
      </c>
      <c r="H88" s="1">
        <v>39</v>
      </c>
      <c r="I88" s="1" t="s">
        <v>32</v>
      </c>
      <c r="J88" s="13">
        <f t="shared" si="4"/>
        <v>39</v>
      </c>
      <c r="K88" s="1" t="s">
        <v>59</v>
      </c>
    </row>
    <row r="89" spans="1:11">
      <c r="A89" s="1" t="str">
        <f t="shared" si="5"/>
        <v/>
      </c>
      <c r="B89" s="1" t="str">
        <f t="shared" si="6"/>
        <v/>
      </c>
      <c r="C89" s="1" t="str">
        <f t="shared" si="7"/>
        <v/>
      </c>
      <c r="D89" s="1" t="str">
        <f t="shared" si="8"/>
        <v/>
      </c>
      <c r="G89" s="1" t="s">
        <v>126</v>
      </c>
      <c r="H89" s="1">
        <v>9</v>
      </c>
      <c r="I89" s="1" t="s">
        <v>32</v>
      </c>
      <c r="J89" s="13">
        <f t="shared" si="4"/>
        <v>9</v>
      </c>
      <c r="K89" s="1" t="s">
        <v>55</v>
      </c>
    </row>
    <row r="90" spans="1:11">
      <c r="A90" s="1" t="str">
        <f t="shared" si="5"/>
        <v/>
      </c>
      <c r="B90" s="1" t="str">
        <f t="shared" si="6"/>
        <v/>
      </c>
      <c r="C90" s="1" t="str">
        <f t="shared" si="7"/>
        <v/>
      </c>
      <c r="D90" s="1" t="str">
        <f t="shared" si="8"/>
        <v/>
      </c>
      <c r="G90" s="1" t="s">
        <v>111</v>
      </c>
      <c r="H90" s="1">
        <v>6</v>
      </c>
      <c r="I90" s="1" t="s">
        <v>32</v>
      </c>
      <c r="J90" s="13">
        <f t="shared" si="4"/>
        <v>6</v>
      </c>
      <c r="K90" s="1" t="s">
        <v>24</v>
      </c>
    </row>
    <row r="91" spans="1:11">
      <c r="A91" s="1" t="str">
        <f t="shared" si="5"/>
        <v/>
      </c>
      <c r="B91" s="1" t="str">
        <f t="shared" si="6"/>
        <v/>
      </c>
      <c r="C91" s="1" t="str">
        <f t="shared" si="7"/>
        <v/>
      </c>
      <c r="D91" s="1" t="str">
        <f t="shared" si="8"/>
        <v/>
      </c>
      <c r="G91" s="1" t="s">
        <v>190</v>
      </c>
      <c r="H91" s="1">
        <v>63.79</v>
      </c>
      <c r="I91" s="1" t="s">
        <v>32</v>
      </c>
      <c r="J91" s="13">
        <f t="shared" si="4"/>
        <v>63.79</v>
      </c>
      <c r="K91" s="1" t="s">
        <v>59</v>
      </c>
    </row>
    <row r="92" spans="1:11">
      <c r="A92" s="1" t="str">
        <f t="shared" si="5"/>
        <v/>
      </c>
      <c r="B92" s="1" t="str">
        <f t="shared" si="6"/>
        <v/>
      </c>
      <c r="C92" s="1" t="str">
        <f t="shared" si="7"/>
        <v/>
      </c>
      <c r="D92" s="1" t="str">
        <f t="shared" si="8"/>
        <v/>
      </c>
      <c r="G92" s="1" t="s">
        <v>87</v>
      </c>
      <c r="H92" s="1">
        <v>42.45</v>
      </c>
      <c r="I92" s="1" t="s">
        <v>32</v>
      </c>
      <c r="J92" s="13">
        <f t="shared" si="4"/>
        <v>42.45</v>
      </c>
      <c r="K92" s="1" t="s">
        <v>24</v>
      </c>
    </row>
    <row r="93" spans="1:11">
      <c r="A93" s="1" t="str">
        <f t="shared" si="5"/>
        <v/>
      </c>
      <c r="B93" s="1" t="str">
        <f t="shared" si="6"/>
        <v/>
      </c>
      <c r="C93" s="1" t="str">
        <f t="shared" si="7"/>
        <v/>
      </c>
      <c r="D93" s="1" t="str">
        <f t="shared" si="8"/>
        <v/>
      </c>
      <c r="G93" s="1" t="s">
        <v>111</v>
      </c>
      <c r="H93" s="1">
        <v>7.3</v>
      </c>
      <c r="I93" s="1" t="s">
        <v>32</v>
      </c>
      <c r="J93" s="13">
        <f t="shared" si="4"/>
        <v>7.3</v>
      </c>
      <c r="K93" s="1" t="s">
        <v>24</v>
      </c>
    </row>
    <row r="94" spans="1:11">
      <c r="A94" s="1" t="str">
        <f t="shared" si="5"/>
        <v/>
      </c>
      <c r="B94" s="1" t="str">
        <f t="shared" si="6"/>
        <v/>
      </c>
      <c r="C94" s="1" t="str">
        <f t="shared" si="7"/>
        <v/>
      </c>
      <c r="D94" s="1" t="str">
        <f t="shared" si="8"/>
        <v/>
      </c>
      <c r="G94" s="1" t="s">
        <v>292</v>
      </c>
      <c r="H94" s="1">
        <v>29.9</v>
      </c>
      <c r="I94" s="1" t="s">
        <v>32</v>
      </c>
      <c r="J94" s="13">
        <f t="shared" si="4"/>
        <v>29.9</v>
      </c>
      <c r="K94" s="1" t="s">
        <v>89</v>
      </c>
    </row>
    <row r="95" spans="1:11">
      <c r="A95" s="1" t="str">
        <f t="shared" si="5"/>
        <v/>
      </c>
      <c r="B95" s="1" t="str">
        <f t="shared" si="6"/>
        <v/>
      </c>
      <c r="C95" s="1" t="str">
        <f t="shared" si="7"/>
        <v/>
      </c>
      <c r="D95" s="1" t="str">
        <f t="shared" si="8"/>
        <v/>
      </c>
      <c r="G95" s="1" t="s">
        <v>292</v>
      </c>
      <c r="H95" s="1">
        <v>236.28</v>
      </c>
      <c r="I95" s="1" t="s">
        <v>32</v>
      </c>
      <c r="J95" s="13">
        <f t="shared" si="4"/>
        <v>236.28</v>
      </c>
      <c r="K95" s="1" t="s">
        <v>89</v>
      </c>
    </row>
    <row r="96" spans="1:11">
      <c r="A96" s="1" t="str">
        <f t="shared" si="5"/>
        <v/>
      </c>
      <c r="B96" s="1" t="str">
        <f t="shared" si="6"/>
        <v/>
      </c>
      <c r="C96" s="1" t="str">
        <f t="shared" si="7"/>
        <v/>
      </c>
      <c r="D96" s="1" t="str">
        <f t="shared" si="8"/>
        <v/>
      </c>
      <c r="G96" s="1" t="s">
        <v>111</v>
      </c>
      <c r="H96" s="1">
        <v>11</v>
      </c>
      <c r="I96" s="1" t="s">
        <v>32</v>
      </c>
      <c r="J96" s="13">
        <f t="shared" si="4"/>
        <v>11</v>
      </c>
      <c r="K96" s="1" t="s">
        <v>24</v>
      </c>
    </row>
    <row r="97" spans="1:11">
      <c r="A97" s="1" t="str">
        <f t="shared" si="5"/>
        <v/>
      </c>
      <c r="B97" s="1" t="str">
        <f t="shared" si="6"/>
        <v/>
      </c>
      <c r="C97" s="1" t="str">
        <f t="shared" si="7"/>
        <v/>
      </c>
      <c r="D97" s="1" t="str">
        <f t="shared" si="8"/>
        <v/>
      </c>
      <c r="G97" s="1" t="s">
        <v>274</v>
      </c>
      <c r="H97" s="1">
        <v>30</v>
      </c>
      <c r="I97" s="1" t="s">
        <v>32</v>
      </c>
      <c r="J97" s="13">
        <f t="shared" si="4"/>
        <v>30</v>
      </c>
      <c r="K97" s="1" t="s">
        <v>85</v>
      </c>
    </row>
    <row r="98" spans="1:11">
      <c r="A98" s="1" t="str">
        <f t="shared" si="5"/>
        <v/>
      </c>
      <c r="B98" s="1" t="str">
        <f t="shared" si="6"/>
        <v/>
      </c>
      <c r="C98" s="1" t="str">
        <f t="shared" si="7"/>
        <v/>
      </c>
      <c r="D98" s="1" t="str">
        <f t="shared" si="8"/>
        <v/>
      </c>
      <c r="G98" s="1" t="s">
        <v>87</v>
      </c>
      <c r="H98" s="1">
        <v>13.73</v>
      </c>
      <c r="I98" s="1" t="s">
        <v>32</v>
      </c>
      <c r="J98" s="13">
        <f t="shared" si="4"/>
        <v>13.73</v>
      </c>
      <c r="K98" s="1" t="s">
        <v>24</v>
      </c>
    </row>
    <row r="99" spans="1:11">
      <c r="A99" s="1" t="str">
        <f t="shared" si="5"/>
        <v/>
      </c>
      <c r="B99" s="1" t="str">
        <f t="shared" si="6"/>
        <v/>
      </c>
      <c r="C99" s="1" t="str">
        <f t="shared" si="7"/>
        <v/>
      </c>
      <c r="D99" s="1" t="str">
        <f t="shared" si="8"/>
        <v/>
      </c>
      <c r="G99" s="1" t="s">
        <v>293</v>
      </c>
      <c r="H99" s="1">
        <v>93.31</v>
      </c>
      <c r="I99" s="1" t="s">
        <v>32</v>
      </c>
      <c r="J99" s="13">
        <f t="shared" si="4"/>
        <v>93.31</v>
      </c>
      <c r="K99" s="1" t="s">
        <v>26</v>
      </c>
    </row>
    <row r="100" spans="1:11">
      <c r="A100" s="1" t="str">
        <f t="shared" si="5"/>
        <v/>
      </c>
      <c r="B100" s="1" t="str">
        <f t="shared" si="6"/>
        <v/>
      </c>
      <c r="C100" s="1" t="str">
        <f t="shared" si="7"/>
        <v/>
      </c>
      <c r="D100" s="1" t="str">
        <f t="shared" si="8"/>
        <v/>
      </c>
      <c r="G100" s="1" t="s">
        <v>294</v>
      </c>
      <c r="H100" s="1">
        <v>112.97</v>
      </c>
      <c r="I100" s="1" t="s">
        <v>32</v>
      </c>
      <c r="J100" s="13">
        <f t="shared" si="4"/>
        <v>112.97</v>
      </c>
      <c r="K100" s="1" t="s">
        <v>59</v>
      </c>
    </row>
    <row r="101" spans="1:11">
      <c r="A101" s="1" t="str">
        <f t="shared" si="5"/>
        <v/>
      </c>
      <c r="B101" s="1" t="str">
        <f t="shared" si="6"/>
        <v/>
      </c>
      <c r="C101" s="1" t="str">
        <f t="shared" si="7"/>
        <v/>
      </c>
      <c r="D101" s="1" t="str">
        <f t="shared" si="8"/>
        <v/>
      </c>
      <c r="G101" s="1" t="s">
        <v>295</v>
      </c>
      <c r="H101" s="1">
        <v>29.5</v>
      </c>
      <c r="I101" s="1" t="s">
        <v>32</v>
      </c>
      <c r="J101" s="13">
        <f t="shared" si="4"/>
        <v>29.5</v>
      </c>
      <c r="K101" s="1" t="s">
        <v>24</v>
      </c>
    </row>
    <row r="102" spans="1:11">
      <c r="A102" s="1" t="str">
        <f t="shared" si="5"/>
        <v/>
      </c>
      <c r="B102" s="1" t="str">
        <f t="shared" si="6"/>
        <v/>
      </c>
      <c r="C102" s="1" t="str">
        <f t="shared" si="7"/>
        <v/>
      </c>
      <c r="D102" s="1" t="str">
        <f t="shared" si="8"/>
        <v/>
      </c>
      <c r="G102" s="1" t="s">
        <v>87</v>
      </c>
      <c r="H102" s="1">
        <v>51.03</v>
      </c>
      <c r="I102" s="1" t="s">
        <v>32</v>
      </c>
      <c r="J102" s="13">
        <f t="shared" si="4"/>
        <v>51.03</v>
      </c>
      <c r="K102" s="1" t="s">
        <v>24</v>
      </c>
    </row>
    <row r="103" spans="1:11">
      <c r="A103" s="1" t="str">
        <f t="shared" si="5"/>
        <v/>
      </c>
      <c r="B103" s="1" t="str">
        <f t="shared" si="6"/>
        <v/>
      </c>
      <c r="C103" s="1" t="str">
        <f t="shared" si="7"/>
        <v/>
      </c>
      <c r="D103" s="1" t="str">
        <f t="shared" si="8"/>
        <v/>
      </c>
      <c r="G103" s="1" t="s">
        <v>296</v>
      </c>
      <c r="H103" s="1">
        <v>18.25</v>
      </c>
      <c r="I103" s="1" t="s">
        <v>32</v>
      </c>
      <c r="J103" s="13">
        <f t="shared" si="4"/>
        <v>18.25</v>
      </c>
      <c r="K103" s="1" t="s">
        <v>59</v>
      </c>
    </row>
    <row r="104" spans="1:11">
      <c r="A104" s="1" t="str">
        <f t="shared" si="5"/>
        <v/>
      </c>
      <c r="B104" s="1" t="str">
        <f t="shared" si="6"/>
        <v/>
      </c>
      <c r="C104" s="1" t="str">
        <f t="shared" si="7"/>
        <v/>
      </c>
      <c r="D104" s="1" t="str">
        <f t="shared" si="8"/>
        <v/>
      </c>
      <c r="G104" s="1" t="s">
        <v>297</v>
      </c>
      <c r="H104" s="1">
        <v>2.7</v>
      </c>
      <c r="I104" s="1" t="s">
        <v>32</v>
      </c>
      <c r="J104" s="13">
        <f t="shared" si="4"/>
        <v>2.7</v>
      </c>
      <c r="K104" s="1" t="s">
        <v>24</v>
      </c>
    </row>
    <row r="105" spans="1:11">
      <c r="A105" s="1" t="str">
        <f t="shared" si="5"/>
        <v/>
      </c>
      <c r="B105" s="1" t="str">
        <f t="shared" si="6"/>
        <v/>
      </c>
      <c r="C105" s="1" t="str">
        <f t="shared" si="7"/>
        <v/>
      </c>
      <c r="D105" s="1" t="str">
        <f t="shared" si="8"/>
        <v/>
      </c>
      <c r="G105" s="1" t="s">
        <v>297</v>
      </c>
      <c r="H105" s="1">
        <v>2.7</v>
      </c>
      <c r="I105" s="1" t="s">
        <v>32</v>
      </c>
      <c r="J105" s="13">
        <f t="shared" si="4"/>
        <v>2.7</v>
      </c>
      <c r="K105" s="1" t="s">
        <v>24</v>
      </c>
    </row>
    <row r="106" spans="1:11">
      <c r="A106" s="1" t="str">
        <f t="shared" si="5"/>
        <v/>
      </c>
      <c r="B106" s="1" t="str">
        <f t="shared" si="6"/>
        <v/>
      </c>
      <c r="C106" s="1" t="str">
        <f t="shared" si="7"/>
        <v/>
      </c>
      <c r="D106" s="1" t="str">
        <f t="shared" si="8"/>
        <v/>
      </c>
      <c r="G106" s="1" t="s">
        <v>298</v>
      </c>
      <c r="H106" s="1">
        <v>35</v>
      </c>
      <c r="I106" s="1" t="s">
        <v>32</v>
      </c>
      <c r="J106" s="13">
        <f t="shared" si="4"/>
        <v>35</v>
      </c>
      <c r="K106" s="1" t="s">
        <v>83</v>
      </c>
    </row>
    <row r="107" spans="1:11">
      <c r="A107" s="1" t="str">
        <f t="shared" si="5"/>
        <v/>
      </c>
      <c r="B107" s="1" t="str">
        <f t="shared" si="6"/>
        <v/>
      </c>
      <c r="C107" s="1" t="str">
        <f t="shared" si="7"/>
        <v/>
      </c>
      <c r="D107" s="1" t="str">
        <f t="shared" si="8"/>
        <v/>
      </c>
      <c r="G107" s="1" t="s">
        <v>297</v>
      </c>
      <c r="H107" s="1">
        <v>1.9</v>
      </c>
      <c r="I107" s="1" t="s">
        <v>32</v>
      </c>
      <c r="J107" s="13">
        <f t="shared" si="4"/>
        <v>1.9</v>
      </c>
      <c r="K107" s="1" t="s">
        <v>24</v>
      </c>
    </row>
    <row r="108" spans="1:11">
      <c r="A108" s="1" t="str">
        <f t="shared" si="5"/>
        <v/>
      </c>
      <c r="B108" s="1" t="str">
        <f t="shared" si="6"/>
        <v/>
      </c>
      <c r="C108" s="1" t="str">
        <f t="shared" si="7"/>
        <v/>
      </c>
      <c r="D108" s="1" t="str">
        <f t="shared" si="8"/>
        <v/>
      </c>
      <c r="G108" s="1" t="s">
        <v>271</v>
      </c>
      <c r="H108" s="1">
        <v>16.3</v>
      </c>
      <c r="I108" s="1" t="s">
        <v>32</v>
      </c>
      <c r="J108" s="13">
        <f t="shared" si="4"/>
        <v>16.3</v>
      </c>
      <c r="K108" s="1" t="s">
        <v>24</v>
      </c>
    </row>
    <row r="109" spans="1:11">
      <c r="A109" s="1" t="str">
        <f t="shared" si="5"/>
        <v/>
      </c>
      <c r="B109" s="1" t="str">
        <f t="shared" si="6"/>
        <v/>
      </c>
      <c r="C109" s="1" t="str">
        <f t="shared" si="7"/>
        <v/>
      </c>
      <c r="D109" s="1" t="str">
        <f t="shared" si="8"/>
        <v/>
      </c>
      <c r="G109" s="1" t="s">
        <v>87</v>
      </c>
      <c r="H109" s="1">
        <v>65.83</v>
      </c>
      <c r="I109" s="1" t="s">
        <v>32</v>
      </c>
      <c r="J109" s="13">
        <f t="shared" si="4"/>
        <v>65.83</v>
      </c>
      <c r="K109" s="1" t="s">
        <v>24</v>
      </c>
    </row>
    <row r="110" spans="1:11">
      <c r="A110" s="1" t="str">
        <f t="shared" si="5"/>
        <v/>
      </c>
      <c r="B110" s="1" t="str">
        <f t="shared" si="6"/>
        <v/>
      </c>
      <c r="C110" s="1" t="str">
        <f t="shared" si="7"/>
        <v/>
      </c>
      <c r="D110" s="1" t="str">
        <f t="shared" si="8"/>
        <v/>
      </c>
      <c r="G110" s="1" t="s">
        <v>299</v>
      </c>
      <c r="H110" s="1">
        <v>89.68</v>
      </c>
      <c r="I110" s="1" t="s">
        <v>32</v>
      </c>
      <c r="J110" s="13">
        <f t="shared" si="4"/>
        <v>89.68</v>
      </c>
      <c r="K110" s="1" t="s">
        <v>24</v>
      </c>
    </row>
    <row r="111" spans="1:11">
      <c r="A111" s="1" t="str">
        <f t="shared" si="5"/>
        <v/>
      </c>
      <c r="B111" s="1" t="str">
        <f t="shared" si="6"/>
        <v/>
      </c>
      <c r="C111" s="1" t="str">
        <f t="shared" si="7"/>
        <v/>
      </c>
      <c r="D111" s="1" t="str">
        <f t="shared" si="8"/>
        <v/>
      </c>
      <c r="G111" s="1" t="s">
        <v>300</v>
      </c>
      <c r="H111" s="1">
        <v>7.98</v>
      </c>
      <c r="I111" s="1" t="s">
        <v>32</v>
      </c>
      <c r="J111" s="13">
        <f t="shared" si="4"/>
        <v>7.98</v>
      </c>
      <c r="K111" s="1" t="s">
        <v>85</v>
      </c>
    </row>
    <row r="112" spans="1:11">
      <c r="A112" s="1" t="str">
        <f t="shared" si="5"/>
        <v/>
      </c>
      <c r="B112" s="1" t="str">
        <f t="shared" si="6"/>
        <v/>
      </c>
      <c r="C112" s="1" t="str">
        <f t="shared" si="7"/>
        <v/>
      </c>
      <c r="D112" s="1" t="str">
        <f t="shared" si="8"/>
        <v/>
      </c>
      <c r="G112" s="1" t="s">
        <v>115</v>
      </c>
      <c r="H112" s="1">
        <v>27</v>
      </c>
      <c r="I112" s="1" t="s">
        <v>32</v>
      </c>
      <c r="J112" s="13">
        <f t="shared" si="4"/>
        <v>27</v>
      </c>
      <c r="K112" s="1" t="s">
        <v>59</v>
      </c>
    </row>
    <row r="113" spans="1:11">
      <c r="A113" s="1" t="str">
        <f t="shared" si="5"/>
        <v/>
      </c>
      <c r="B113" s="1" t="str">
        <f t="shared" si="6"/>
        <v/>
      </c>
      <c r="C113" s="1" t="str">
        <f t="shared" si="7"/>
        <v/>
      </c>
      <c r="D113" s="1" t="str">
        <f t="shared" si="8"/>
        <v/>
      </c>
      <c r="G113" s="1" t="s">
        <v>301</v>
      </c>
      <c r="H113" s="1">
        <v>385.39</v>
      </c>
      <c r="I113" s="1" t="s">
        <v>32</v>
      </c>
      <c r="J113" s="13">
        <f t="shared" si="4"/>
        <v>385.39</v>
      </c>
      <c r="K113" s="1" t="s">
        <v>24</v>
      </c>
    </row>
    <row r="114" spans="1:11">
      <c r="A114" s="1" t="str">
        <f t="shared" si="5"/>
        <v/>
      </c>
      <c r="B114" s="1" t="str">
        <f t="shared" si="6"/>
        <v/>
      </c>
      <c r="C114" s="1" t="str">
        <f t="shared" si="7"/>
        <v/>
      </c>
      <c r="D114" s="1" t="str">
        <f t="shared" si="8"/>
        <v/>
      </c>
      <c r="G114" s="1" t="s">
        <v>284</v>
      </c>
      <c r="H114" s="1">
        <v>25</v>
      </c>
      <c r="I114" s="1" t="s">
        <v>32</v>
      </c>
      <c r="J114" s="13">
        <f t="shared" si="4"/>
        <v>25</v>
      </c>
      <c r="K114" s="1" t="s">
        <v>59</v>
      </c>
    </row>
    <row r="115" spans="1:11">
      <c r="A115" s="1" t="str">
        <f t="shared" si="5"/>
        <v/>
      </c>
      <c r="B115" s="1" t="str">
        <f t="shared" si="6"/>
        <v/>
      </c>
      <c r="C115" s="1" t="str">
        <f t="shared" si="7"/>
        <v/>
      </c>
      <c r="D115" s="1" t="str">
        <f t="shared" si="8"/>
        <v/>
      </c>
      <c r="G115" s="1" t="s">
        <v>301</v>
      </c>
      <c r="H115" s="1">
        <v>181.13</v>
      </c>
      <c r="I115" s="1" t="s">
        <v>32</v>
      </c>
      <c r="J115" s="13">
        <f t="shared" si="4"/>
        <v>181.13</v>
      </c>
      <c r="K115" s="1" t="s">
        <v>24</v>
      </c>
    </row>
    <row r="116" spans="1:11">
      <c r="A116" s="1" t="str">
        <f t="shared" si="5"/>
        <v/>
      </c>
      <c r="B116" s="1" t="str">
        <f t="shared" si="6"/>
        <v/>
      </c>
      <c r="C116" s="1" t="str">
        <f t="shared" si="7"/>
        <v/>
      </c>
      <c r="D116" s="1" t="str">
        <f t="shared" si="8"/>
        <v/>
      </c>
      <c r="G116" s="1" t="s">
        <v>301</v>
      </c>
      <c r="H116" s="1">
        <v>73.430000000000007</v>
      </c>
      <c r="I116" s="1" t="s">
        <v>32</v>
      </c>
      <c r="J116" s="13">
        <f t="shared" si="4"/>
        <v>73.430000000000007</v>
      </c>
      <c r="K116" s="1" t="s">
        <v>24</v>
      </c>
    </row>
    <row r="117" spans="1:11">
      <c r="A117" s="1" t="str">
        <f t="shared" si="5"/>
        <v/>
      </c>
      <c r="B117" s="1" t="str">
        <f t="shared" si="6"/>
        <v/>
      </c>
      <c r="C117" s="1" t="str">
        <f t="shared" si="7"/>
        <v/>
      </c>
      <c r="D117" s="1" t="str">
        <f t="shared" si="8"/>
        <v/>
      </c>
      <c r="G117" s="1" t="s">
        <v>271</v>
      </c>
      <c r="H117" s="1">
        <v>29.3</v>
      </c>
      <c r="I117" s="1" t="s">
        <v>32</v>
      </c>
      <c r="J117" s="13">
        <f t="shared" si="4"/>
        <v>29.3</v>
      </c>
      <c r="K117" s="1" t="s">
        <v>24</v>
      </c>
    </row>
    <row r="118" spans="1:11">
      <c r="A118" s="1" t="str">
        <f t="shared" si="5"/>
        <v/>
      </c>
      <c r="B118" s="1" t="str">
        <f t="shared" si="6"/>
        <v/>
      </c>
      <c r="C118" s="1" t="str">
        <f t="shared" si="7"/>
        <v/>
      </c>
      <c r="D118" s="1" t="str">
        <f t="shared" si="8"/>
        <v/>
      </c>
      <c r="G118" s="1" t="s">
        <v>87</v>
      </c>
      <c r="H118" s="1">
        <v>17.04</v>
      </c>
      <c r="I118" s="1" t="s">
        <v>32</v>
      </c>
      <c r="J118" s="13">
        <f t="shared" si="4"/>
        <v>17.04</v>
      </c>
      <c r="K118" s="1" t="s">
        <v>24</v>
      </c>
    </row>
    <row r="119" spans="1:11">
      <c r="A119" s="1" t="str">
        <f t="shared" si="5"/>
        <v/>
      </c>
      <c r="B119" s="1" t="str">
        <f t="shared" si="6"/>
        <v/>
      </c>
      <c r="C119" s="1" t="str">
        <f t="shared" si="7"/>
        <v/>
      </c>
      <c r="D119" s="1" t="str">
        <f t="shared" si="8"/>
        <v/>
      </c>
      <c r="G119" s="1" t="s">
        <v>93</v>
      </c>
      <c r="H119" s="1">
        <v>57</v>
      </c>
      <c r="I119" s="1" t="s">
        <v>32</v>
      </c>
      <c r="J119" s="13">
        <f t="shared" si="4"/>
        <v>57</v>
      </c>
      <c r="K119" s="1" t="s">
        <v>24</v>
      </c>
    </row>
    <row r="120" spans="1:11">
      <c r="A120" s="1" t="str">
        <f t="shared" si="5"/>
        <v/>
      </c>
      <c r="B120" s="1" t="str">
        <f t="shared" si="6"/>
        <v/>
      </c>
      <c r="C120" s="1" t="str">
        <f t="shared" si="7"/>
        <v/>
      </c>
      <c r="D120" s="1" t="str">
        <f t="shared" si="8"/>
        <v/>
      </c>
      <c r="G120" s="1" t="s">
        <v>87</v>
      </c>
      <c r="H120" s="1">
        <v>2.29</v>
      </c>
      <c r="I120" s="1" t="s">
        <v>32</v>
      </c>
      <c r="J120" s="13">
        <f t="shared" si="4"/>
        <v>2.29</v>
      </c>
      <c r="K120" s="1" t="s">
        <v>24</v>
      </c>
    </row>
    <row r="121" spans="1:11">
      <c r="A121" s="1" t="str">
        <f t="shared" si="5"/>
        <v/>
      </c>
      <c r="B121" s="1" t="str">
        <f t="shared" si="6"/>
        <v/>
      </c>
      <c r="C121" s="1" t="str">
        <f t="shared" si="7"/>
        <v/>
      </c>
      <c r="D121" s="1" t="str">
        <f t="shared" si="8"/>
        <v/>
      </c>
      <c r="G121" s="1" t="s">
        <v>87</v>
      </c>
      <c r="H121" s="1">
        <v>0.52</v>
      </c>
      <c r="I121" s="1" t="s">
        <v>32</v>
      </c>
      <c r="J121" s="13">
        <f t="shared" si="4"/>
        <v>0.52</v>
      </c>
      <c r="K121" s="1" t="s">
        <v>24</v>
      </c>
    </row>
    <row r="122" spans="1:11">
      <c r="A122" s="1" t="str">
        <f t="shared" si="5"/>
        <v/>
      </c>
      <c r="B122" s="1" t="str">
        <f t="shared" si="6"/>
        <v/>
      </c>
      <c r="C122" s="1" t="str">
        <f t="shared" si="7"/>
        <v/>
      </c>
      <c r="D122" s="1" t="str">
        <f t="shared" si="8"/>
        <v/>
      </c>
      <c r="G122" s="1" t="s">
        <v>303</v>
      </c>
      <c r="H122" s="1">
        <v>31.5</v>
      </c>
      <c r="I122" s="1" t="s">
        <v>32</v>
      </c>
      <c r="J122" s="13">
        <f t="shared" si="4"/>
        <v>31.5</v>
      </c>
      <c r="K122" s="1" t="s">
        <v>85</v>
      </c>
    </row>
    <row r="123" spans="1:11">
      <c r="A123" s="1" t="str">
        <f t="shared" si="5"/>
        <v/>
      </c>
      <c r="B123" s="1" t="str">
        <f t="shared" si="6"/>
        <v/>
      </c>
      <c r="C123" s="1" t="str">
        <f t="shared" si="7"/>
        <v/>
      </c>
      <c r="D123" s="1" t="str">
        <f t="shared" si="8"/>
        <v/>
      </c>
      <c r="G123" s="1" t="s">
        <v>303</v>
      </c>
      <c r="H123" s="1">
        <v>30</v>
      </c>
      <c r="I123" s="1" t="s">
        <v>32</v>
      </c>
      <c r="J123" s="13">
        <f t="shared" si="4"/>
        <v>30</v>
      </c>
      <c r="K123" s="1" t="s">
        <v>85</v>
      </c>
    </row>
    <row r="124" spans="1:11">
      <c r="A124" s="1" t="str">
        <f t="shared" si="5"/>
        <v/>
      </c>
      <c r="B124" s="1" t="str">
        <f t="shared" si="6"/>
        <v/>
      </c>
      <c r="C124" s="1" t="str">
        <f t="shared" si="7"/>
        <v/>
      </c>
      <c r="D124" s="1" t="str">
        <f t="shared" si="8"/>
        <v/>
      </c>
      <c r="G124" s="1" t="s">
        <v>209</v>
      </c>
      <c r="H124" s="1">
        <v>47.01</v>
      </c>
      <c r="I124" s="1" t="s">
        <v>32</v>
      </c>
      <c r="J124" s="13">
        <f t="shared" si="4"/>
        <v>47.01</v>
      </c>
      <c r="K124" s="1" t="s">
        <v>59</v>
      </c>
    </row>
    <row r="125" spans="1:11">
      <c r="A125" s="1" t="str">
        <f t="shared" si="5"/>
        <v/>
      </c>
      <c r="B125" s="1" t="str">
        <f t="shared" si="6"/>
        <v/>
      </c>
      <c r="C125" s="1" t="str">
        <f t="shared" si="7"/>
        <v/>
      </c>
      <c r="D125" s="1" t="str">
        <f t="shared" si="8"/>
        <v/>
      </c>
      <c r="G125" s="1" t="s">
        <v>87</v>
      </c>
      <c r="H125" s="1">
        <v>2.48</v>
      </c>
      <c r="I125" s="1" t="s">
        <v>32</v>
      </c>
      <c r="J125" s="13">
        <f t="shared" si="4"/>
        <v>2.48</v>
      </c>
      <c r="K125" s="1" t="s">
        <v>24</v>
      </c>
    </row>
    <row r="126" spans="1:11">
      <c r="A126" s="1" t="str">
        <f t="shared" si="5"/>
        <v/>
      </c>
      <c r="B126" s="1" t="str">
        <f t="shared" si="6"/>
        <v/>
      </c>
      <c r="C126" s="1" t="str">
        <f t="shared" si="7"/>
        <v/>
      </c>
      <c r="D126" s="1" t="str">
        <f t="shared" si="8"/>
        <v/>
      </c>
      <c r="G126" s="1" t="s">
        <v>112</v>
      </c>
      <c r="H126" s="1">
        <v>51.65</v>
      </c>
      <c r="I126" s="1" t="s">
        <v>32</v>
      </c>
      <c r="J126" s="13">
        <f t="shared" si="4"/>
        <v>51.65</v>
      </c>
      <c r="K126" s="1" t="s">
        <v>89</v>
      </c>
    </row>
    <row r="127" spans="1:11">
      <c r="A127" s="1" t="str">
        <f t="shared" si="5"/>
        <v/>
      </c>
      <c r="B127" s="1" t="str">
        <f t="shared" si="6"/>
        <v/>
      </c>
      <c r="C127" s="1" t="str">
        <f t="shared" si="7"/>
        <v/>
      </c>
      <c r="D127" s="1" t="str">
        <f t="shared" si="8"/>
        <v/>
      </c>
      <c r="G127" s="1" t="s">
        <v>112</v>
      </c>
      <c r="H127" s="1">
        <v>7.1</v>
      </c>
      <c r="I127" s="1" t="s">
        <v>32</v>
      </c>
      <c r="J127" s="13">
        <f t="shared" si="4"/>
        <v>7.1</v>
      </c>
      <c r="K127" s="1" t="s">
        <v>89</v>
      </c>
    </row>
    <row r="128" spans="1:11">
      <c r="A128" s="1" t="str">
        <f t="shared" si="5"/>
        <v/>
      </c>
      <c r="B128" s="1" t="str">
        <f t="shared" si="6"/>
        <v/>
      </c>
      <c r="C128" s="1" t="str">
        <f t="shared" si="7"/>
        <v/>
      </c>
      <c r="D128" s="1" t="str">
        <f t="shared" si="8"/>
        <v/>
      </c>
      <c r="G128" s="1" t="s">
        <v>87</v>
      </c>
      <c r="H128" s="1">
        <v>9.8000000000000007</v>
      </c>
      <c r="I128" s="1" t="s">
        <v>32</v>
      </c>
      <c r="J128" s="13">
        <f t="shared" si="4"/>
        <v>9.8000000000000007</v>
      </c>
      <c r="K128" s="1" t="s">
        <v>24</v>
      </c>
    </row>
    <row r="129" spans="1:11">
      <c r="A129" s="1" t="str">
        <f t="shared" si="5"/>
        <v/>
      </c>
      <c r="B129" s="1" t="str">
        <f t="shared" si="6"/>
        <v/>
      </c>
      <c r="C129" s="1" t="str">
        <f t="shared" si="7"/>
        <v/>
      </c>
      <c r="D129" s="1" t="str">
        <f t="shared" si="8"/>
        <v/>
      </c>
      <c r="G129" s="1" t="s">
        <v>306</v>
      </c>
      <c r="H129" s="1">
        <v>7.5</v>
      </c>
      <c r="I129" s="1" t="s">
        <v>32</v>
      </c>
      <c r="J129" s="13">
        <f t="shared" si="4"/>
        <v>7.5</v>
      </c>
      <c r="K129" s="1" t="s">
        <v>98</v>
      </c>
    </row>
    <row r="130" spans="1:11">
      <c r="A130" s="1" t="str">
        <f t="shared" si="5"/>
        <v/>
      </c>
      <c r="B130" s="1" t="str">
        <f t="shared" si="6"/>
        <v/>
      </c>
      <c r="C130" s="1" t="str">
        <f t="shared" si="7"/>
        <v/>
      </c>
      <c r="D130" s="1" t="str">
        <f t="shared" si="8"/>
        <v/>
      </c>
      <c r="G130" s="1" t="s">
        <v>306</v>
      </c>
      <c r="H130" s="1">
        <v>3.5</v>
      </c>
      <c r="I130" s="1" t="s">
        <v>32</v>
      </c>
      <c r="J130" s="13">
        <f t="shared" si="4"/>
        <v>3.5</v>
      </c>
      <c r="K130" s="1" t="s">
        <v>98</v>
      </c>
    </row>
    <row r="131" spans="1:11">
      <c r="A131" s="1" t="str">
        <f t="shared" si="5"/>
        <v/>
      </c>
      <c r="B131" s="1" t="str">
        <f t="shared" si="6"/>
        <v/>
      </c>
      <c r="C131" s="1" t="str">
        <f t="shared" si="7"/>
        <v/>
      </c>
      <c r="D131" s="1" t="str">
        <f t="shared" si="8"/>
        <v/>
      </c>
      <c r="G131" s="1" t="s">
        <v>306</v>
      </c>
      <c r="H131" s="1">
        <v>5</v>
      </c>
      <c r="I131" s="1" t="s">
        <v>32</v>
      </c>
      <c r="J131" s="13">
        <f t="shared" si="4"/>
        <v>5</v>
      </c>
      <c r="K131" s="1" t="s">
        <v>98</v>
      </c>
    </row>
    <row r="132" spans="1:11">
      <c r="A132" s="1" t="str">
        <f t="shared" si="5"/>
        <v/>
      </c>
      <c r="B132" s="1" t="str">
        <f t="shared" si="6"/>
        <v/>
      </c>
      <c r="C132" s="1" t="str">
        <f t="shared" si="7"/>
        <v/>
      </c>
      <c r="D132" s="1" t="str">
        <f t="shared" si="8"/>
        <v/>
      </c>
      <c r="G132" s="1" t="s">
        <v>115</v>
      </c>
      <c r="H132" s="1">
        <v>13</v>
      </c>
      <c r="I132" s="1" t="s">
        <v>32</v>
      </c>
      <c r="J132" s="13">
        <f t="shared" si="4"/>
        <v>13</v>
      </c>
      <c r="K132" s="1" t="s">
        <v>59</v>
      </c>
    </row>
    <row r="133" spans="1:11">
      <c r="A133" s="1" t="str">
        <f t="shared" si="5"/>
        <v/>
      </c>
      <c r="B133" s="1" t="str">
        <f t="shared" si="6"/>
        <v/>
      </c>
      <c r="C133" s="1" t="str">
        <f t="shared" si="7"/>
        <v/>
      </c>
      <c r="D133" s="1" t="str">
        <f t="shared" si="8"/>
        <v/>
      </c>
      <c r="G133" s="1" t="s">
        <v>307</v>
      </c>
      <c r="H133" s="1">
        <v>11.5</v>
      </c>
      <c r="I133" s="1" t="s">
        <v>32</v>
      </c>
      <c r="J133" s="13">
        <f t="shared" si="4"/>
        <v>11.5</v>
      </c>
      <c r="K133" s="1" t="s">
        <v>59</v>
      </c>
    </row>
    <row r="134" spans="1:11">
      <c r="A134" s="1" t="str">
        <f t="shared" si="5"/>
        <v/>
      </c>
      <c r="B134" s="1" t="str">
        <f t="shared" si="6"/>
        <v/>
      </c>
      <c r="C134" s="1" t="str">
        <f t="shared" si="7"/>
        <v/>
      </c>
      <c r="D134" s="1" t="str">
        <f t="shared" si="8"/>
        <v/>
      </c>
      <c r="G134" s="1" t="s">
        <v>308</v>
      </c>
      <c r="H134" s="1">
        <v>19.8</v>
      </c>
      <c r="I134" s="1" t="s">
        <v>32</v>
      </c>
      <c r="J134" s="13">
        <f t="shared" si="4"/>
        <v>19.8</v>
      </c>
      <c r="K134" s="1" t="s">
        <v>98</v>
      </c>
    </row>
    <row r="135" spans="1:11">
      <c r="A135" s="1" t="str">
        <f t="shared" si="5"/>
        <v/>
      </c>
      <c r="B135" s="1" t="str">
        <f t="shared" si="6"/>
        <v/>
      </c>
      <c r="C135" s="1" t="str">
        <f t="shared" si="7"/>
        <v/>
      </c>
      <c r="D135" s="1" t="str">
        <f t="shared" si="8"/>
        <v/>
      </c>
      <c r="G135" s="1" t="s">
        <v>86</v>
      </c>
      <c r="H135" s="1">
        <v>25.98</v>
      </c>
      <c r="I135" s="1" t="s">
        <v>32</v>
      </c>
      <c r="J135" s="13">
        <f t="shared" si="4"/>
        <v>25.98</v>
      </c>
      <c r="K135" s="1" t="s">
        <v>59</v>
      </c>
    </row>
    <row r="136" spans="1:11">
      <c r="A136" s="1" t="str">
        <f t="shared" si="5"/>
        <v/>
      </c>
      <c r="B136" s="1" t="str">
        <f t="shared" si="6"/>
        <v/>
      </c>
      <c r="C136" s="1" t="str">
        <f t="shared" si="7"/>
        <v/>
      </c>
      <c r="D136" s="1" t="str">
        <f t="shared" si="8"/>
        <v/>
      </c>
      <c r="G136" s="1" t="s">
        <v>309</v>
      </c>
      <c r="H136" s="1">
        <v>172.32</v>
      </c>
      <c r="I136" s="1" t="s">
        <v>32</v>
      </c>
      <c r="J136" s="13">
        <f t="shared" si="4"/>
        <v>172.32</v>
      </c>
      <c r="K136" s="1" t="s">
        <v>24</v>
      </c>
    </row>
    <row r="137" spans="1:11">
      <c r="A137" s="1" t="str">
        <f t="shared" si="5"/>
        <v/>
      </c>
      <c r="B137" s="1" t="str">
        <f t="shared" si="6"/>
        <v/>
      </c>
      <c r="C137" s="1" t="str">
        <f t="shared" si="7"/>
        <v/>
      </c>
      <c r="D137" s="1" t="str">
        <f t="shared" si="8"/>
        <v/>
      </c>
      <c r="G137" s="1" t="s">
        <v>310</v>
      </c>
      <c r="H137" s="1">
        <v>61.84</v>
      </c>
      <c r="I137" s="1" t="s">
        <v>32</v>
      </c>
      <c r="J137" s="13">
        <f t="shared" si="4"/>
        <v>61.84</v>
      </c>
      <c r="K137" s="1" t="s">
        <v>24</v>
      </c>
    </row>
    <row r="138" spans="1:11">
      <c r="A138" s="1" t="str">
        <f t="shared" si="5"/>
        <v/>
      </c>
      <c r="B138" s="1" t="str">
        <f t="shared" si="6"/>
        <v/>
      </c>
      <c r="C138" s="1" t="str">
        <f t="shared" si="7"/>
        <v/>
      </c>
      <c r="D138" s="1" t="str">
        <f t="shared" si="8"/>
        <v/>
      </c>
      <c r="G138" s="1" t="s">
        <v>87</v>
      </c>
      <c r="H138" s="1">
        <v>54.59</v>
      </c>
      <c r="I138" s="1" t="s">
        <v>32</v>
      </c>
      <c r="J138" s="13">
        <f t="shared" si="4"/>
        <v>54.59</v>
      </c>
      <c r="K138" s="1" t="s">
        <v>24</v>
      </c>
    </row>
    <row r="139" spans="1:11">
      <c r="A139" s="1" t="str">
        <f t="shared" si="5"/>
        <v/>
      </c>
      <c r="B139" s="1" t="str">
        <f t="shared" si="6"/>
        <v/>
      </c>
      <c r="C139" s="1" t="str">
        <f t="shared" si="7"/>
        <v/>
      </c>
      <c r="D139" s="1" t="str">
        <f t="shared" si="8"/>
        <v/>
      </c>
      <c r="G139" s="1" t="s">
        <v>311</v>
      </c>
      <c r="H139" s="1">
        <v>3.4</v>
      </c>
      <c r="I139" s="1" t="s">
        <v>32</v>
      </c>
      <c r="J139" s="13">
        <f t="shared" si="4"/>
        <v>3.4</v>
      </c>
      <c r="K139" s="1" t="s">
        <v>55</v>
      </c>
    </row>
    <row r="140" spans="1:11">
      <c r="A140" s="1" t="str">
        <f t="shared" si="5"/>
        <v/>
      </c>
      <c r="B140" s="1" t="str">
        <f t="shared" si="6"/>
        <v/>
      </c>
      <c r="C140" s="1" t="str">
        <f t="shared" si="7"/>
        <v/>
      </c>
      <c r="D140" s="1" t="str">
        <f t="shared" si="8"/>
        <v/>
      </c>
      <c r="G140" s="1" t="s">
        <v>87</v>
      </c>
      <c r="H140" s="1">
        <v>11.95</v>
      </c>
      <c r="I140" s="1" t="s">
        <v>32</v>
      </c>
      <c r="J140" s="13">
        <f t="shared" si="4"/>
        <v>11.95</v>
      </c>
      <c r="K140" s="1" t="s">
        <v>24</v>
      </c>
    </row>
    <row r="141" spans="1:11">
      <c r="A141" s="1" t="str">
        <f t="shared" si="5"/>
        <v/>
      </c>
      <c r="B141" s="1" t="str">
        <f t="shared" si="6"/>
        <v/>
      </c>
      <c r="C141" s="1" t="str">
        <f t="shared" si="7"/>
        <v/>
      </c>
      <c r="D141" s="1" t="str">
        <f t="shared" si="8"/>
        <v/>
      </c>
      <c r="G141" s="1" t="s">
        <v>239</v>
      </c>
      <c r="H141" s="1">
        <v>25.2</v>
      </c>
      <c r="I141" s="1" t="s">
        <v>32</v>
      </c>
      <c r="J141" s="13">
        <f t="shared" si="4"/>
        <v>25.2</v>
      </c>
      <c r="K141" s="1" t="s">
        <v>24</v>
      </c>
    </row>
    <row r="142" spans="1:11">
      <c r="A142" s="1" t="str">
        <f t="shared" si="5"/>
        <v/>
      </c>
      <c r="B142" s="1" t="str">
        <f t="shared" si="6"/>
        <v/>
      </c>
      <c r="C142" s="1" t="str">
        <f t="shared" si="7"/>
        <v/>
      </c>
      <c r="D142" s="1" t="str">
        <f t="shared" si="8"/>
        <v/>
      </c>
      <c r="G142" s="1" t="s">
        <v>312</v>
      </c>
      <c r="H142" s="1">
        <v>77.900000000000006</v>
      </c>
      <c r="I142" s="1" t="s">
        <v>32</v>
      </c>
      <c r="J142" s="13">
        <f t="shared" si="4"/>
        <v>77.900000000000006</v>
      </c>
      <c r="K142" s="1" t="s">
        <v>89</v>
      </c>
    </row>
    <row r="143" spans="1:11">
      <c r="A143" s="1" t="str">
        <f t="shared" si="5"/>
        <v/>
      </c>
      <c r="B143" s="1" t="str">
        <f t="shared" si="6"/>
        <v/>
      </c>
      <c r="C143" s="1" t="str">
        <f t="shared" si="7"/>
        <v/>
      </c>
      <c r="D143" s="1" t="str">
        <f t="shared" si="8"/>
        <v/>
      </c>
      <c r="G143" s="1" t="s">
        <v>313</v>
      </c>
      <c r="H143" s="1">
        <v>14.85</v>
      </c>
      <c r="I143" s="1" t="s">
        <v>32</v>
      </c>
      <c r="J143" s="13">
        <f t="shared" si="4"/>
        <v>14.85</v>
      </c>
      <c r="K143" s="1" t="s">
        <v>98</v>
      </c>
    </row>
    <row r="144" spans="1:11">
      <c r="A144" s="1" t="str">
        <f t="shared" si="5"/>
        <v/>
      </c>
      <c r="B144" s="1" t="str">
        <f t="shared" si="6"/>
        <v/>
      </c>
      <c r="C144" s="1" t="str">
        <f t="shared" si="7"/>
        <v/>
      </c>
      <c r="D144" s="1" t="str">
        <f t="shared" si="8"/>
        <v/>
      </c>
      <c r="G144" s="1" t="s">
        <v>86</v>
      </c>
      <c r="H144" s="1">
        <v>11.89</v>
      </c>
      <c r="I144" s="1" t="s">
        <v>32</v>
      </c>
      <c r="J144" s="13">
        <f t="shared" si="4"/>
        <v>11.89</v>
      </c>
      <c r="K144" s="1" t="s">
        <v>44</v>
      </c>
    </row>
    <row r="145" spans="1:11">
      <c r="A145" s="1" t="str">
        <f t="shared" si="5"/>
        <v/>
      </c>
      <c r="B145" s="1" t="str">
        <f t="shared" si="6"/>
        <v/>
      </c>
      <c r="C145" s="1" t="str">
        <f t="shared" si="7"/>
        <v/>
      </c>
      <c r="D145" s="1" t="str">
        <f t="shared" si="8"/>
        <v/>
      </c>
      <c r="G145" s="1" t="s">
        <v>93</v>
      </c>
      <c r="H145" s="1">
        <v>40.74</v>
      </c>
      <c r="I145" s="1" t="s">
        <v>32</v>
      </c>
      <c r="J145" s="13">
        <f t="shared" si="4"/>
        <v>40.74</v>
      </c>
      <c r="K145" s="1" t="s">
        <v>59</v>
      </c>
    </row>
    <row r="146" spans="1:11">
      <c r="A146" s="1" t="str">
        <f t="shared" si="5"/>
        <v/>
      </c>
      <c r="B146" s="1" t="str">
        <f t="shared" si="6"/>
        <v/>
      </c>
      <c r="C146" s="1" t="str">
        <f t="shared" si="7"/>
        <v/>
      </c>
      <c r="D146" s="1" t="str">
        <f t="shared" si="8"/>
        <v/>
      </c>
      <c r="G146" s="1" t="s">
        <v>84</v>
      </c>
      <c r="H146" s="1">
        <v>59.7</v>
      </c>
      <c r="I146" s="1" t="s">
        <v>32</v>
      </c>
      <c r="J146" s="13">
        <f t="shared" si="4"/>
        <v>59.7</v>
      </c>
      <c r="K146" s="1" t="s">
        <v>85</v>
      </c>
    </row>
    <row r="147" spans="1:11">
      <c r="A147" s="1" t="str">
        <f t="shared" si="5"/>
        <v/>
      </c>
      <c r="B147" s="1" t="str">
        <f t="shared" si="6"/>
        <v/>
      </c>
      <c r="C147" s="1" t="str">
        <f t="shared" si="7"/>
        <v/>
      </c>
      <c r="D147" s="1" t="str">
        <f t="shared" si="8"/>
        <v/>
      </c>
      <c r="G147" s="1" t="s">
        <v>239</v>
      </c>
      <c r="H147" s="1">
        <v>32.1</v>
      </c>
      <c r="I147" s="1" t="s">
        <v>32</v>
      </c>
      <c r="J147" s="13">
        <f t="shared" si="4"/>
        <v>32.1</v>
      </c>
      <c r="K147" s="1" t="s">
        <v>24</v>
      </c>
    </row>
    <row r="148" spans="1:11">
      <c r="A148" s="1" t="str">
        <f t="shared" si="5"/>
        <v/>
      </c>
      <c r="B148" s="1" t="str">
        <f t="shared" si="6"/>
        <v/>
      </c>
      <c r="C148" s="1" t="str">
        <f t="shared" si="7"/>
        <v/>
      </c>
      <c r="D148" s="1" t="str">
        <f t="shared" si="8"/>
        <v/>
      </c>
      <c r="G148" s="1" t="s">
        <v>142</v>
      </c>
      <c r="H148" s="1">
        <v>8.5</v>
      </c>
      <c r="I148" s="1" t="s">
        <v>32</v>
      </c>
      <c r="J148" s="13">
        <f t="shared" si="4"/>
        <v>8.5</v>
      </c>
      <c r="K148" s="1" t="s">
        <v>98</v>
      </c>
    </row>
    <row r="149" spans="1:11">
      <c r="A149" s="1" t="str">
        <f t="shared" si="5"/>
        <v/>
      </c>
      <c r="B149" s="1" t="str">
        <f t="shared" si="6"/>
        <v/>
      </c>
      <c r="C149" s="1" t="str">
        <f t="shared" si="7"/>
        <v/>
      </c>
      <c r="D149" s="1" t="str">
        <f t="shared" si="8"/>
        <v/>
      </c>
      <c r="G149" s="1" t="s">
        <v>284</v>
      </c>
      <c r="H149" s="1">
        <v>25</v>
      </c>
      <c r="I149" s="1" t="s">
        <v>32</v>
      </c>
      <c r="J149" s="13">
        <f t="shared" si="4"/>
        <v>25</v>
      </c>
      <c r="K149" s="1" t="s">
        <v>59</v>
      </c>
    </row>
    <row r="150" spans="1:11">
      <c r="A150" s="1" t="str">
        <f t="shared" si="5"/>
        <v/>
      </c>
      <c r="B150" s="1" t="str">
        <f t="shared" si="6"/>
        <v/>
      </c>
      <c r="C150" s="1" t="str">
        <f t="shared" si="7"/>
        <v/>
      </c>
      <c r="D150" s="1" t="str">
        <f t="shared" si="8"/>
        <v/>
      </c>
      <c r="G150" s="1" t="s">
        <v>243</v>
      </c>
      <c r="H150" s="1">
        <v>26.32</v>
      </c>
      <c r="I150" s="1" t="s">
        <v>32</v>
      </c>
      <c r="J150" s="13">
        <f t="shared" si="4"/>
        <v>26.32</v>
      </c>
      <c r="K150" s="1" t="s">
        <v>24</v>
      </c>
    </row>
    <row r="151" spans="1:11">
      <c r="A151" s="1" t="str">
        <f t="shared" si="5"/>
        <v/>
      </c>
      <c r="B151" s="1" t="str">
        <f t="shared" si="6"/>
        <v/>
      </c>
      <c r="C151" s="1" t="str">
        <f t="shared" si="7"/>
        <v/>
      </c>
      <c r="D151" s="1" t="str">
        <f t="shared" si="8"/>
        <v/>
      </c>
      <c r="G151" s="1" t="s">
        <v>314</v>
      </c>
      <c r="H151" s="1">
        <v>250.9</v>
      </c>
      <c r="I151" s="1" t="s">
        <v>32</v>
      </c>
      <c r="J151" s="13">
        <f t="shared" si="4"/>
        <v>250.9</v>
      </c>
      <c r="K151" s="1" t="s">
        <v>26</v>
      </c>
    </row>
    <row r="152" spans="1:11">
      <c r="A152" s="1" t="str">
        <f t="shared" si="5"/>
        <v/>
      </c>
      <c r="B152" s="1" t="str">
        <f t="shared" si="6"/>
        <v/>
      </c>
      <c r="C152" s="1" t="str">
        <f t="shared" si="7"/>
        <v/>
      </c>
      <c r="D152" s="1" t="str">
        <f t="shared" si="8"/>
        <v/>
      </c>
      <c r="G152" s="1" t="s">
        <v>86</v>
      </c>
      <c r="H152" s="1">
        <v>43.34</v>
      </c>
      <c r="I152" s="1" t="s">
        <v>32</v>
      </c>
      <c r="J152" s="13">
        <f t="shared" si="4"/>
        <v>43.34</v>
      </c>
      <c r="K152" s="1" t="s">
        <v>44</v>
      </c>
    </row>
    <row r="153" spans="1:11">
      <c r="A153" s="1" t="str">
        <f t="shared" si="5"/>
        <v/>
      </c>
      <c r="B153" s="1" t="str">
        <f t="shared" si="6"/>
        <v/>
      </c>
      <c r="C153" s="1" t="str">
        <f t="shared" si="7"/>
        <v/>
      </c>
      <c r="D153" s="1" t="str">
        <f t="shared" si="8"/>
        <v/>
      </c>
      <c r="G153" s="1" t="s">
        <v>82</v>
      </c>
      <c r="H153" s="1">
        <v>11.04</v>
      </c>
      <c r="I153" s="1" t="s">
        <v>32</v>
      </c>
      <c r="J153" s="13">
        <f t="shared" si="4"/>
        <v>11.04</v>
      </c>
      <c r="K153" s="1" t="s">
        <v>83</v>
      </c>
    </row>
    <row r="154" spans="1:11">
      <c r="A154" s="1" t="str">
        <f t="shared" si="5"/>
        <v/>
      </c>
      <c r="B154" s="1" t="str">
        <f t="shared" si="6"/>
        <v/>
      </c>
      <c r="C154" s="1" t="str">
        <f t="shared" si="7"/>
        <v/>
      </c>
      <c r="D154" s="1" t="str">
        <f t="shared" si="8"/>
        <v/>
      </c>
      <c r="G154" s="1" t="s">
        <v>82</v>
      </c>
      <c r="H154" s="1">
        <v>82.64</v>
      </c>
      <c r="I154" s="1" t="s">
        <v>32</v>
      </c>
      <c r="J154" s="13">
        <f t="shared" si="4"/>
        <v>82.64</v>
      </c>
      <c r="K154" s="1" t="s">
        <v>83</v>
      </c>
    </row>
    <row r="155" spans="1:11">
      <c r="A155" s="1" t="str">
        <f t="shared" si="5"/>
        <v/>
      </c>
      <c r="B155" s="1" t="str">
        <f t="shared" si="6"/>
        <v/>
      </c>
      <c r="C155" s="1" t="str">
        <f t="shared" si="7"/>
        <v/>
      </c>
      <c r="D155" s="1" t="str">
        <f t="shared" si="8"/>
        <v/>
      </c>
      <c r="G155" s="1" t="s">
        <v>84</v>
      </c>
      <c r="H155" s="1">
        <v>19.3</v>
      </c>
      <c r="I155" s="1" t="s">
        <v>32</v>
      </c>
      <c r="J155" s="13">
        <f t="shared" si="4"/>
        <v>19.3</v>
      </c>
      <c r="K155" s="1" t="s">
        <v>85</v>
      </c>
    </row>
    <row r="156" spans="1:11">
      <c r="A156" s="1" t="str">
        <f t="shared" si="5"/>
        <v/>
      </c>
      <c r="B156" s="1" t="str">
        <f t="shared" si="6"/>
        <v/>
      </c>
      <c r="C156" s="1" t="str">
        <f t="shared" si="7"/>
        <v/>
      </c>
      <c r="D156" s="1" t="str">
        <f t="shared" si="8"/>
        <v/>
      </c>
      <c r="G156" s="1" t="s">
        <v>319</v>
      </c>
      <c r="H156" s="1">
        <v>25.05</v>
      </c>
      <c r="I156" s="1" t="s">
        <v>32</v>
      </c>
      <c r="J156" s="13">
        <f t="shared" si="4"/>
        <v>25.05</v>
      </c>
      <c r="K156" s="1" t="s">
        <v>24</v>
      </c>
    </row>
    <row r="157" spans="1:11">
      <c r="A157" s="1" t="str">
        <f t="shared" si="5"/>
        <v>Reste prévu</v>
      </c>
      <c r="B157" s="1" t="e">
        <f t="shared" si="6"/>
        <v>#REF!</v>
      </c>
      <c r="C157" s="1" t="str">
        <f t="shared" si="7"/>
        <v>Reste réel</v>
      </c>
      <c r="D157" s="1" t="e">
        <f t="shared" si="8"/>
        <v>#REF!</v>
      </c>
      <c r="J157" s="13">
        <f t="shared" si="4"/>
        <v>0</v>
      </c>
      <c r="K157" s="1"/>
    </row>
    <row r="158" spans="1:11">
      <c r="A158" s="1" t="str">
        <f t="shared" si="5"/>
        <v/>
      </c>
      <c r="B158" s="1" t="str">
        <f t="shared" si="6"/>
        <v/>
      </c>
      <c r="C158" s="1" t="str">
        <f t="shared" si="7"/>
        <v/>
      </c>
      <c r="D158" s="1" t="str">
        <f t="shared" si="8"/>
        <v/>
      </c>
      <c r="J158" s="13">
        <f t="shared" si="4"/>
        <v>0</v>
      </c>
      <c r="K158" s="1"/>
    </row>
    <row r="159" spans="1:11">
      <c r="A159" s="1" t="str">
        <f t="shared" si="5"/>
        <v/>
      </c>
      <c r="B159" s="1" t="str">
        <f t="shared" si="6"/>
        <v/>
      </c>
      <c r="C159" s="1" t="str">
        <f t="shared" si="7"/>
        <v/>
      </c>
      <c r="D159" s="1" t="str">
        <f t="shared" si="8"/>
        <v/>
      </c>
      <c r="J159" s="13">
        <f t="shared" si="4"/>
        <v>0</v>
      </c>
    </row>
    <row r="160" spans="1:11">
      <c r="A160" s="1" t="str">
        <f t="shared" si="5"/>
        <v/>
      </c>
      <c r="B160" s="1" t="str">
        <f t="shared" si="6"/>
        <v/>
      </c>
      <c r="C160" s="1" t="str">
        <f t="shared" si="7"/>
        <v/>
      </c>
      <c r="D160" s="1" t="str">
        <f t="shared" si="8"/>
        <v/>
      </c>
      <c r="J160" s="13">
        <f t="shared" si="4"/>
        <v>0</v>
      </c>
    </row>
    <row r="161" spans="1:11">
      <c r="A161" s="1" t="str">
        <f t="shared" si="5"/>
        <v/>
      </c>
      <c r="B161" s="1" t="str">
        <f t="shared" si="6"/>
        <v/>
      </c>
      <c r="C161" s="1" t="str">
        <f t="shared" si="7"/>
        <v/>
      </c>
      <c r="D161" s="1" t="str">
        <f t="shared" si="8"/>
        <v/>
      </c>
      <c r="J161" s="13">
        <f t="shared" si="4"/>
        <v>0</v>
      </c>
    </row>
    <row r="162" spans="1:11">
      <c r="A162" s="1" t="str">
        <f t="shared" si="5"/>
        <v/>
      </c>
      <c r="B162" s="1" t="str">
        <f t="shared" si="6"/>
        <v/>
      </c>
      <c r="C162" s="1" t="str">
        <f t="shared" si="7"/>
        <v/>
      </c>
      <c r="D162" s="1" t="str">
        <f t="shared" si="8"/>
        <v/>
      </c>
      <c r="J162" s="13">
        <f t="shared" si="4"/>
        <v>0</v>
      </c>
      <c r="K162" s="1"/>
    </row>
    <row r="163" spans="1:11">
      <c r="A163" s="1" t="str">
        <f t="shared" si="5"/>
        <v/>
      </c>
      <c r="B163" s="1" t="str">
        <f t="shared" si="6"/>
        <v/>
      </c>
      <c r="C163" s="1" t="str">
        <f t="shared" si="7"/>
        <v/>
      </c>
      <c r="D163" s="1" t="str">
        <f t="shared" si="8"/>
        <v/>
      </c>
      <c r="J163" s="13">
        <f t="shared" si="4"/>
        <v>0</v>
      </c>
      <c r="K163" s="1"/>
    </row>
    <row r="164" spans="1:11">
      <c r="A164" s="1" t="str">
        <f t="shared" si="5"/>
        <v/>
      </c>
      <c r="B164" s="1" t="str">
        <f t="shared" si="6"/>
        <v/>
      </c>
      <c r="C164" s="1" t="str">
        <f t="shared" si="7"/>
        <v/>
      </c>
      <c r="D164" s="1" t="str">
        <f t="shared" si="8"/>
        <v/>
      </c>
      <c r="J164" s="13">
        <f t="shared" si="4"/>
        <v>0</v>
      </c>
      <c r="K164" s="1"/>
    </row>
    <row r="165" spans="1:11">
      <c r="A165" s="1" t="str">
        <f t="shared" si="5"/>
        <v/>
      </c>
      <c r="B165" s="1" t="str">
        <f t="shared" si="6"/>
        <v/>
      </c>
      <c r="C165" s="1" t="str">
        <f t="shared" si="7"/>
        <v/>
      </c>
      <c r="D165" s="1" t="str">
        <f t="shared" si="8"/>
        <v/>
      </c>
      <c r="J165" s="13">
        <f t="shared" si="4"/>
        <v>0</v>
      </c>
      <c r="K165" s="1"/>
    </row>
    <row r="166" spans="1:11">
      <c r="A166" s="1" t="str">
        <f t="shared" si="5"/>
        <v/>
      </c>
      <c r="B166" s="1" t="str">
        <f t="shared" si="6"/>
        <v/>
      </c>
      <c r="C166" s="1" t="str">
        <f t="shared" si="7"/>
        <v/>
      </c>
      <c r="D166" s="1" t="str">
        <f t="shared" si="8"/>
        <v/>
      </c>
      <c r="J166" s="13">
        <f t="shared" si="4"/>
        <v>0</v>
      </c>
      <c r="K166" s="1"/>
    </row>
    <row r="167" spans="1:11">
      <c r="A167" s="1" t="str">
        <f t="shared" si="5"/>
        <v/>
      </c>
      <c r="B167" s="1" t="str">
        <f t="shared" si="6"/>
        <v/>
      </c>
      <c r="C167" s="1" t="str">
        <f t="shared" si="7"/>
        <v/>
      </c>
      <c r="D167" s="1" t="str">
        <f t="shared" si="8"/>
        <v/>
      </c>
      <c r="J167" s="13">
        <f t="shared" si="4"/>
        <v>0</v>
      </c>
      <c r="K167" s="1"/>
    </row>
    <row r="168" spans="1:11">
      <c r="A168" s="1" t="str">
        <f t="shared" si="5"/>
        <v/>
      </c>
      <c r="B168" s="1" t="str">
        <f t="shared" si="6"/>
        <v/>
      </c>
      <c r="C168" s="1" t="str">
        <f t="shared" si="7"/>
        <v/>
      </c>
      <c r="D168" s="1" t="str">
        <f t="shared" si="8"/>
        <v/>
      </c>
      <c r="J168" s="13">
        <f t="shared" si="4"/>
        <v>0</v>
      </c>
      <c r="K168" s="1"/>
    </row>
    <row r="169" spans="1:11">
      <c r="A169" s="1" t="str">
        <f t="shared" si="5"/>
        <v/>
      </c>
      <c r="B169" s="1" t="str">
        <f t="shared" si="6"/>
        <v/>
      </c>
      <c r="C169" s="1" t="str">
        <f t="shared" si="7"/>
        <v/>
      </c>
      <c r="D169" s="1" t="str">
        <f t="shared" si="8"/>
        <v/>
      </c>
      <c r="J169" s="13">
        <f t="shared" si="4"/>
        <v>0</v>
      </c>
      <c r="K169" s="1"/>
    </row>
    <row r="170" spans="1:11">
      <c r="A170" s="1" t="str">
        <f t="shared" si="5"/>
        <v/>
      </c>
      <c r="B170" s="1" t="str">
        <f t="shared" si="6"/>
        <v/>
      </c>
      <c r="C170" s="1" t="str">
        <f t="shared" si="7"/>
        <v/>
      </c>
      <c r="D170" s="1" t="str">
        <f t="shared" si="8"/>
        <v/>
      </c>
      <c r="J170" s="13">
        <f t="shared" si="4"/>
        <v>0</v>
      </c>
      <c r="K170" s="1"/>
    </row>
    <row r="171" spans="1:11">
      <c r="A171" s="1" t="str">
        <f t="shared" si="5"/>
        <v/>
      </c>
      <c r="B171" s="1" t="str">
        <f t="shared" si="6"/>
        <v/>
      </c>
      <c r="C171" s="1" t="str">
        <f t="shared" si="7"/>
        <v/>
      </c>
      <c r="D171" s="1" t="str">
        <f t="shared" si="8"/>
        <v/>
      </c>
      <c r="J171" s="13">
        <f t="shared" si="4"/>
        <v>0</v>
      </c>
      <c r="K171" s="1"/>
    </row>
    <row r="172" spans="1:11">
      <c r="A172" s="1" t="str">
        <f t="shared" si="5"/>
        <v/>
      </c>
      <c r="B172" s="1" t="str">
        <f t="shared" si="6"/>
        <v/>
      </c>
      <c r="C172" s="1" t="str">
        <f t="shared" si="7"/>
        <v/>
      </c>
      <c r="D172" s="1" t="str">
        <f t="shared" si="8"/>
        <v/>
      </c>
      <c r="J172" s="13">
        <f t="shared" si="4"/>
        <v>0</v>
      </c>
      <c r="K172" s="1"/>
    </row>
    <row r="173" spans="1:11">
      <c r="A173" s="1" t="str">
        <f t="shared" si="5"/>
        <v/>
      </c>
      <c r="B173" s="1" t="str">
        <f t="shared" si="6"/>
        <v/>
      </c>
      <c r="C173" s="1" t="str">
        <f t="shared" si="7"/>
        <v/>
      </c>
      <c r="D173" s="1" t="str">
        <f t="shared" si="8"/>
        <v/>
      </c>
      <c r="J173" s="13">
        <f t="shared" si="4"/>
        <v>0</v>
      </c>
      <c r="K173" s="1"/>
    </row>
    <row r="174" spans="1:11">
      <c r="A174" s="1" t="str">
        <f t="shared" si="5"/>
        <v/>
      </c>
      <c r="B174" s="1" t="str">
        <f t="shared" si="6"/>
        <v/>
      </c>
      <c r="C174" s="1" t="str">
        <f t="shared" si="7"/>
        <v/>
      </c>
      <c r="D174" s="1" t="str">
        <f t="shared" si="8"/>
        <v/>
      </c>
      <c r="J174" s="13">
        <f t="shared" si="4"/>
        <v>0</v>
      </c>
      <c r="K174" s="1"/>
    </row>
    <row r="175" spans="1:11">
      <c r="A175" s="1" t="str">
        <f t="shared" si="5"/>
        <v/>
      </c>
      <c r="B175" s="1" t="str">
        <f t="shared" si="6"/>
        <v/>
      </c>
      <c r="C175" s="1" t="str">
        <f t="shared" si="7"/>
        <v/>
      </c>
      <c r="D175" s="1" t="str">
        <f t="shared" si="8"/>
        <v/>
      </c>
      <c r="J175" s="13">
        <f t="shared" si="4"/>
        <v>0</v>
      </c>
      <c r="K175" s="1"/>
    </row>
    <row r="176" spans="1:11">
      <c r="A176" s="1" t="str">
        <f t="shared" si="5"/>
        <v/>
      </c>
      <c r="B176" s="1" t="str">
        <f t="shared" si="6"/>
        <v/>
      </c>
      <c r="C176" s="1" t="str">
        <f t="shared" si="7"/>
        <v/>
      </c>
      <c r="D176" s="1" t="str">
        <f t="shared" si="8"/>
        <v/>
      </c>
      <c r="J176" s="13">
        <f t="shared" si="4"/>
        <v>0</v>
      </c>
      <c r="K176" s="1"/>
    </row>
    <row r="177" spans="1:11">
      <c r="A177" s="1" t="str">
        <f t="shared" si="5"/>
        <v/>
      </c>
      <c r="B177" s="1" t="str">
        <f t="shared" si="6"/>
        <v/>
      </c>
      <c r="C177" s="1" t="str">
        <f t="shared" si="7"/>
        <v/>
      </c>
      <c r="D177" s="1" t="str">
        <f t="shared" si="8"/>
        <v/>
      </c>
      <c r="J177" s="13">
        <f t="shared" si="4"/>
        <v>0</v>
      </c>
      <c r="K177" s="1"/>
    </row>
    <row r="178" spans="1:11">
      <c r="A178" s="1" t="str">
        <f t="shared" si="5"/>
        <v/>
      </c>
      <c r="B178" s="1" t="str">
        <f t="shared" si="6"/>
        <v/>
      </c>
      <c r="C178" s="1" t="str">
        <f t="shared" si="7"/>
        <v/>
      </c>
      <c r="D178" s="1" t="str">
        <f t="shared" si="8"/>
        <v/>
      </c>
      <c r="J178" s="13">
        <f t="shared" si="4"/>
        <v>0</v>
      </c>
      <c r="K178" s="1"/>
    </row>
    <row r="179" spans="1:11">
      <c r="A179" s="1" t="str">
        <f t="shared" si="5"/>
        <v/>
      </c>
      <c r="B179" s="1" t="str">
        <f t="shared" si="6"/>
        <v/>
      </c>
      <c r="C179" s="1" t="str">
        <f t="shared" si="7"/>
        <v/>
      </c>
      <c r="D179" s="1" t="str">
        <f t="shared" si="8"/>
        <v/>
      </c>
      <c r="J179" s="13">
        <f t="shared" si="4"/>
        <v>0</v>
      </c>
      <c r="K179" s="1"/>
    </row>
    <row r="180" spans="1:11">
      <c r="A180" s="1" t="str">
        <f t="shared" si="5"/>
        <v/>
      </c>
      <c r="B180" s="1" t="str">
        <f t="shared" si="6"/>
        <v/>
      </c>
      <c r="C180" s="1" t="str">
        <f t="shared" si="7"/>
        <v/>
      </c>
      <c r="D180" s="1" t="str">
        <f t="shared" si="8"/>
        <v/>
      </c>
      <c r="J180" s="13">
        <f t="shared" si="4"/>
        <v>0</v>
      </c>
      <c r="K180" s="1"/>
    </row>
    <row r="181" spans="1:11">
      <c r="A181" s="1" t="str">
        <f t="shared" si="5"/>
        <v/>
      </c>
      <c r="B181" s="1" t="str">
        <f t="shared" si="6"/>
        <v/>
      </c>
      <c r="C181" s="1" t="str">
        <f t="shared" si="7"/>
        <v/>
      </c>
      <c r="D181" s="1" t="str">
        <f t="shared" si="8"/>
        <v/>
      </c>
      <c r="J181" s="13">
        <f t="shared" si="4"/>
        <v>0</v>
      </c>
      <c r="K181" s="1"/>
    </row>
    <row r="182" spans="1:11">
      <c r="A182" s="1" t="str">
        <f t="shared" si="5"/>
        <v/>
      </c>
      <c r="B182" s="1" t="str">
        <f t="shared" si="6"/>
        <v/>
      </c>
      <c r="C182" s="1" t="str">
        <f t="shared" si="7"/>
        <v/>
      </c>
      <c r="D182" s="1" t="str">
        <f t="shared" si="8"/>
        <v/>
      </c>
      <c r="J182" s="13">
        <f t="shared" si="4"/>
        <v>0</v>
      </c>
      <c r="K182" s="1"/>
    </row>
    <row r="183" spans="1:11">
      <c r="A183" s="1" t="str">
        <f t="shared" si="5"/>
        <v/>
      </c>
      <c r="B183" s="1" t="str">
        <f t="shared" si="6"/>
        <v/>
      </c>
      <c r="C183" s="1" t="str">
        <f t="shared" si="7"/>
        <v/>
      </c>
      <c r="D183" s="1" t="str">
        <f t="shared" si="8"/>
        <v/>
      </c>
      <c r="J183" s="13">
        <f t="shared" si="4"/>
        <v>0</v>
      </c>
      <c r="K183" s="1"/>
    </row>
    <row r="184" spans="1:11">
      <c r="A184" s="1" t="str">
        <f t="shared" si="5"/>
        <v/>
      </c>
      <c r="B184" s="1" t="str">
        <f t="shared" si="6"/>
        <v/>
      </c>
      <c r="C184" s="1" t="str">
        <f t="shared" si="7"/>
        <v/>
      </c>
      <c r="D184" s="1" t="str">
        <f t="shared" si="8"/>
        <v/>
      </c>
      <c r="J184" s="13">
        <f t="shared" si="4"/>
        <v>0</v>
      </c>
      <c r="K184" s="1"/>
    </row>
    <row r="185" spans="1:11">
      <c r="A185" s="1" t="str">
        <f t="shared" si="5"/>
        <v/>
      </c>
      <c r="B185" s="1" t="str">
        <f t="shared" si="6"/>
        <v/>
      </c>
      <c r="C185" s="1" t="str">
        <f t="shared" si="7"/>
        <v/>
      </c>
      <c r="D185" s="1" t="str">
        <f t="shared" si="8"/>
        <v/>
      </c>
      <c r="J185" s="13">
        <f t="shared" si="4"/>
        <v>0</v>
      </c>
      <c r="K185" s="1"/>
    </row>
    <row r="186" spans="1:11">
      <c r="A186" s="1" t="str">
        <f t="shared" si="5"/>
        <v/>
      </c>
      <c r="B186" s="1" t="str">
        <f t="shared" si="6"/>
        <v/>
      </c>
      <c r="C186" s="1" t="str">
        <f t="shared" si="7"/>
        <v/>
      </c>
      <c r="D186" s="1" t="str">
        <f t="shared" si="8"/>
        <v/>
      </c>
      <c r="J186" s="13">
        <f t="shared" si="4"/>
        <v>0</v>
      </c>
      <c r="K186" s="1"/>
    </row>
    <row r="187" spans="1:11">
      <c r="A187" s="1" t="str">
        <f t="shared" si="5"/>
        <v/>
      </c>
      <c r="B187" s="1" t="str">
        <f t="shared" si="6"/>
        <v/>
      </c>
      <c r="C187" s="1" t="str">
        <f t="shared" si="7"/>
        <v/>
      </c>
      <c r="D187" s="1" t="str">
        <f t="shared" si="8"/>
        <v/>
      </c>
      <c r="J187" s="13">
        <f t="shared" si="4"/>
        <v>0</v>
      </c>
      <c r="K187" s="1"/>
    </row>
    <row r="188" spans="1:11">
      <c r="A188" s="1" t="str">
        <f t="shared" si="5"/>
        <v/>
      </c>
      <c r="B188" s="1" t="str">
        <f t="shared" si="6"/>
        <v/>
      </c>
      <c r="C188" s="1" t="str">
        <f t="shared" si="7"/>
        <v/>
      </c>
      <c r="D188" s="1" t="str">
        <f t="shared" si="8"/>
        <v/>
      </c>
      <c r="J188" s="13">
        <f t="shared" si="4"/>
        <v>0</v>
      </c>
      <c r="K188" s="1"/>
    </row>
    <row r="189" spans="1:11">
      <c r="A189" s="1" t="str">
        <f t="shared" si="5"/>
        <v/>
      </c>
      <c r="B189" s="1" t="str">
        <f t="shared" si="6"/>
        <v/>
      </c>
      <c r="C189" s="1" t="str">
        <f t="shared" si="7"/>
        <v/>
      </c>
      <c r="D189" s="1" t="str">
        <f t="shared" si="8"/>
        <v/>
      </c>
      <c r="J189" s="13">
        <f t="shared" si="4"/>
        <v>0</v>
      </c>
      <c r="K189" s="1"/>
    </row>
    <row r="190" spans="1:11">
      <c r="A190" s="1" t="str">
        <f t="shared" si="5"/>
        <v/>
      </c>
      <c r="B190" s="1" t="str">
        <f t="shared" si="6"/>
        <v/>
      </c>
      <c r="C190" s="1" t="str">
        <f t="shared" si="7"/>
        <v/>
      </c>
      <c r="D190" s="1" t="str">
        <f t="shared" si="8"/>
        <v/>
      </c>
      <c r="J190" s="13">
        <f t="shared" si="4"/>
        <v>0</v>
      </c>
      <c r="K190" s="1"/>
    </row>
    <row r="191" spans="1:11">
      <c r="A191" s="1" t="str">
        <f t="shared" si="5"/>
        <v/>
      </c>
      <c r="B191" s="1" t="str">
        <f t="shared" si="6"/>
        <v/>
      </c>
      <c r="C191" s="1" t="str">
        <f t="shared" si="7"/>
        <v/>
      </c>
      <c r="D191" s="1" t="str">
        <f t="shared" si="8"/>
        <v/>
      </c>
      <c r="J191" s="13">
        <f t="shared" si="4"/>
        <v>0</v>
      </c>
      <c r="K191" s="1"/>
    </row>
    <row r="192" spans="1:11">
      <c r="A192" s="1" t="str">
        <f t="shared" si="5"/>
        <v/>
      </c>
      <c r="B192" s="1" t="str">
        <f t="shared" si="6"/>
        <v/>
      </c>
      <c r="C192" s="1" t="str">
        <f t="shared" si="7"/>
        <v/>
      </c>
      <c r="D192" s="1" t="str">
        <f t="shared" si="8"/>
        <v/>
      </c>
      <c r="J192" s="13">
        <f t="shared" si="4"/>
        <v>0</v>
      </c>
      <c r="K192" s="1"/>
    </row>
    <row r="193" spans="1:11">
      <c r="A193" s="1" t="str">
        <f t="shared" si="5"/>
        <v/>
      </c>
      <c r="B193" s="1" t="str">
        <f t="shared" si="6"/>
        <v/>
      </c>
      <c r="C193" s="1" t="str">
        <f t="shared" si="7"/>
        <v/>
      </c>
      <c r="D193" s="1" t="str">
        <f t="shared" si="8"/>
        <v/>
      </c>
      <c r="J193" s="13">
        <f t="shared" si="4"/>
        <v>0</v>
      </c>
      <c r="K193" s="1"/>
    </row>
    <row r="194" spans="1:11">
      <c r="A194" s="1" t="str">
        <f t="shared" si="5"/>
        <v/>
      </c>
      <c r="B194" s="1" t="str">
        <f t="shared" si="6"/>
        <v/>
      </c>
      <c r="C194" s="1" t="str">
        <f t="shared" si="7"/>
        <v/>
      </c>
      <c r="D194" s="1" t="str">
        <f t="shared" si="8"/>
        <v/>
      </c>
      <c r="J194" s="13">
        <f t="shared" si="4"/>
        <v>0</v>
      </c>
      <c r="K194" s="1"/>
    </row>
    <row r="195" spans="1:11">
      <c r="A195" s="1" t="str">
        <f t="shared" si="5"/>
        <v/>
      </c>
      <c r="B195" s="1" t="str">
        <f t="shared" si="6"/>
        <v/>
      </c>
      <c r="C195" s="1" t="str">
        <f t="shared" si="7"/>
        <v/>
      </c>
      <c r="D195" s="1" t="str">
        <f t="shared" si="8"/>
        <v/>
      </c>
      <c r="J195" s="13">
        <f t="shared" si="4"/>
        <v>0</v>
      </c>
      <c r="K195" s="1"/>
    </row>
    <row r="196" spans="1:11">
      <c r="A196" s="1" t="str">
        <f t="shared" si="5"/>
        <v/>
      </c>
      <c r="B196" s="1" t="str">
        <f t="shared" si="6"/>
        <v/>
      </c>
      <c r="C196" s="1" t="str">
        <f t="shared" si="7"/>
        <v/>
      </c>
      <c r="D196" s="1" t="str">
        <f t="shared" si="8"/>
        <v/>
      </c>
      <c r="J196" s="13">
        <f t="shared" si="4"/>
        <v>0</v>
      </c>
      <c r="K196" s="1"/>
    </row>
    <row r="197" spans="1:11">
      <c r="A197" s="1" t="str">
        <f t="shared" si="5"/>
        <v/>
      </c>
      <c r="B197" s="1" t="str">
        <f t="shared" si="6"/>
        <v/>
      </c>
      <c r="C197" s="1" t="str">
        <f t="shared" si="7"/>
        <v/>
      </c>
      <c r="D197" s="1" t="str">
        <f t="shared" si="8"/>
        <v/>
      </c>
      <c r="J197" s="13">
        <f t="shared" si="4"/>
        <v>0</v>
      </c>
      <c r="K197" s="1"/>
    </row>
    <row r="198" spans="1:11">
      <c r="A198" s="1" t="str">
        <f t="shared" si="5"/>
        <v/>
      </c>
      <c r="B198" s="1" t="str">
        <f t="shared" si="6"/>
        <v/>
      </c>
      <c r="C198" s="1" t="str">
        <f t="shared" si="7"/>
        <v/>
      </c>
      <c r="D198" s="1" t="str">
        <f t="shared" si="8"/>
        <v/>
      </c>
      <c r="J198" s="13">
        <f t="shared" si="4"/>
        <v>0</v>
      </c>
      <c r="K198" s="1"/>
    </row>
    <row r="199" spans="1:11">
      <c r="A199" s="1" t="str">
        <f t="shared" si="5"/>
        <v/>
      </c>
      <c r="B199" s="1" t="str">
        <f t="shared" si="6"/>
        <v/>
      </c>
      <c r="C199" s="1" t="str">
        <f t="shared" si="7"/>
        <v/>
      </c>
      <c r="D199" s="1" t="str">
        <f t="shared" si="8"/>
        <v/>
      </c>
      <c r="J199" s="13">
        <f t="shared" si="4"/>
        <v>0</v>
      </c>
      <c r="K199" s="1"/>
    </row>
    <row r="200" spans="1:11">
      <c r="A200" s="1" t="str">
        <f t="shared" si="5"/>
        <v/>
      </c>
      <c r="B200" s="1" t="str">
        <f t="shared" si="6"/>
        <v/>
      </c>
      <c r="C200" s="1" t="str">
        <f t="shared" si="7"/>
        <v/>
      </c>
      <c r="D200" s="1" t="str">
        <f t="shared" si="8"/>
        <v/>
      </c>
      <c r="J200" s="13">
        <f t="shared" si="4"/>
        <v>0</v>
      </c>
      <c r="K200" s="1"/>
    </row>
    <row r="201" spans="1:11">
      <c r="A201" s="1" t="str">
        <f t="shared" si="5"/>
        <v/>
      </c>
      <c r="B201" s="1" t="str">
        <f t="shared" si="6"/>
        <v/>
      </c>
      <c r="C201" s="1" t="str">
        <f t="shared" si="7"/>
        <v/>
      </c>
      <c r="D201" s="1" t="str">
        <f t="shared" si="8"/>
        <v/>
      </c>
      <c r="J201" s="13">
        <f t="shared" si="4"/>
        <v>0</v>
      </c>
      <c r="K201" s="1"/>
    </row>
    <row r="202" spans="1:11">
      <c r="A202" s="1" t="str">
        <f t="shared" si="5"/>
        <v/>
      </c>
      <c r="B202" s="1" t="str">
        <f t="shared" si="6"/>
        <v/>
      </c>
      <c r="C202" s="1" t="str">
        <f t="shared" si="7"/>
        <v/>
      </c>
      <c r="D202" s="1" t="str">
        <f t="shared" si="8"/>
        <v/>
      </c>
      <c r="J202" s="13">
        <f t="shared" si="4"/>
        <v>0</v>
      </c>
      <c r="K202" s="1"/>
    </row>
    <row r="203" spans="1:11">
      <c r="A203" s="1" t="str">
        <f t="shared" si="5"/>
        <v/>
      </c>
      <c r="B203" s="1" t="str">
        <f t="shared" si="6"/>
        <v/>
      </c>
      <c r="C203" s="1" t="str">
        <f t="shared" si="7"/>
        <v/>
      </c>
      <c r="D203" s="1" t="str">
        <f t="shared" si="8"/>
        <v/>
      </c>
      <c r="J203" s="13">
        <f t="shared" si="4"/>
        <v>0</v>
      </c>
      <c r="K203" s="1"/>
    </row>
    <row r="204" spans="1:11">
      <c r="A204" s="1" t="str">
        <f t="shared" si="5"/>
        <v/>
      </c>
      <c r="B204" s="1" t="str">
        <f t="shared" si="6"/>
        <v/>
      </c>
      <c r="C204" s="1" t="str">
        <f t="shared" si="7"/>
        <v/>
      </c>
      <c r="D204" s="1" t="str">
        <f t="shared" si="8"/>
        <v/>
      </c>
      <c r="J204" s="13">
        <f t="shared" si="4"/>
        <v>0</v>
      </c>
      <c r="K204" s="1"/>
    </row>
    <row r="205" spans="1:11">
      <c r="A205" s="1" t="str">
        <f t="shared" si="5"/>
        <v/>
      </c>
      <c r="B205" s="1" t="str">
        <f t="shared" si="6"/>
        <v/>
      </c>
      <c r="C205" s="1" t="str">
        <f t="shared" si="7"/>
        <v/>
      </c>
      <c r="D205" s="1" t="str">
        <f t="shared" si="8"/>
        <v/>
      </c>
      <c r="J205" s="13">
        <f t="shared" si="4"/>
        <v>0</v>
      </c>
      <c r="K205" s="1"/>
    </row>
    <row r="206" spans="1:11">
      <c r="A206" s="1" t="str">
        <f t="shared" si="5"/>
        <v/>
      </c>
      <c r="B206" s="1" t="str">
        <f t="shared" si="6"/>
        <v/>
      </c>
      <c r="C206" s="1" t="str">
        <f t="shared" si="7"/>
        <v/>
      </c>
      <c r="D206" s="1" t="str">
        <f t="shared" si="8"/>
        <v/>
      </c>
      <c r="J206" s="13">
        <f t="shared" si="4"/>
        <v>0</v>
      </c>
      <c r="K206" s="1"/>
    </row>
    <row r="207" spans="1:11">
      <c r="A207" s="1" t="str">
        <f t="shared" si="5"/>
        <v/>
      </c>
      <c r="B207" s="1" t="str">
        <f t="shared" si="6"/>
        <v/>
      </c>
      <c r="C207" s="1" t="str">
        <f t="shared" si="7"/>
        <v/>
      </c>
      <c r="D207" s="1" t="str">
        <f t="shared" si="8"/>
        <v/>
      </c>
      <c r="J207" s="13">
        <f t="shared" si="4"/>
        <v>0</v>
      </c>
      <c r="K207" s="1"/>
    </row>
    <row r="208" spans="1:11">
      <c r="A208" s="1" t="str">
        <f t="shared" si="5"/>
        <v/>
      </c>
      <c r="B208" s="1" t="str">
        <f t="shared" si="6"/>
        <v/>
      </c>
      <c r="C208" s="1" t="str">
        <f t="shared" si="7"/>
        <v/>
      </c>
      <c r="D208" s="1" t="str">
        <f t="shared" si="8"/>
        <v/>
      </c>
      <c r="J208" s="13">
        <f t="shared" si="4"/>
        <v>0</v>
      </c>
      <c r="K208" s="1"/>
    </row>
    <row r="209" spans="1:11">
      <c r="A209" s="1" t="str">
        <f t="shared" si="5"/>
        <v/>
      </c>
      <c r="B209" s="1" t="str">
        <f t="shared" si="6"/>
        <v/>
      </c>
      <c r="C209" s="1" t="str">
        <f t="shared" si="7"/>
        <v/>
      </c>
      <c r="D209" s="1" t="str">
        <f t="shared" si="8"/>
        <v/>
      </c>
      <c r="J209" s="13">
        <f t="shared" si="4"/>
        <v>0</v>
      </c>
      <c r="K209" s="1"/>
    </row>
    <row r="210" spans="1:11">
      <c r="A210" s="1" t="str">
        <f t="shared" si="5"/>
        <v/>
      </c>
      <c r="B210" s="1" t="str">
        <f t="shared" si="6"/>
        <v/>
      </c>
      <c r="C210" s="1" t="str">
        <f t="shared" si="7"/>
        <v/>
      </c>
      <c r="D210" s="1" t="str">
        <f t="shared" si="8"/>
        <v/>
      </c>
      <c r="J210" s="13">
        <f t="shared" si="4"/>
        <v>0</v>
      </c>
      <c r="K210" s="1"/>
    </row>
    <row r="211" spans="1:11">
      <c r="A211" s="1" t="str">
        <f t="shared" si="5"/>
        <v/>
      </c>
      <c r="B211" s="1" t="str">
        <f t="shared" si="6"/>
        <v/>
      </c>
      <c r="C211" s="1" t="str">
        <f t="shared" si="7"/>
        <v/>
      </c>
      <c r="D211" s="1" t="str">
        <f t="shared" si="8"/>
        <v/>
      </c>
      <c r="J211" s="13">
        <f t="shared" si="4"/>
        <v>0</v>
      </c>
      <c r="K211" s="1"/>
    </row>
    <row r="212" spans="1:11">
      <c r="A212" s="1" t="str">
        <f t="shared" si="5"/>
        <v/>
      </c>
      <c r="B212" s="1" t="str">
        <f t="shared" si="6"/>
        <v/>
      </c>
      <c r="C212" s="1" t="str">
        <f t="shared" si="7"/>
        <v/>
      </c>
      <c r="D212" s="1" t="str">
        <f t="shared" si="8"/>
        <v/>
      </c>
      <c r="J212" s="13">
        <f t="shared" si="4"/>
        <v>0</v>
      </c>
      <c r="K212" s="1"/>
    </row>
    <row r="213" spans="1:11">
      <c r="A213" s="1" t="str">
        <f t="shared" si="5"/>
        <v/>
      </c>
      <c r="B213" s="1" t="str">
        <f t="shared" si="6"/>
        <v/>
      </c>
      <c r="C213" s="1" t="str">
        <f t="shared" si="7"/>
        <v/>
      </c>
      <c r="D213" s="1" t="str">
        <f t="shared" si="8"/>
        <v/>
      </c>
      <c r="J213" s="13">
        <f t="shared" si="4"/>
        <v>0</v>
      </c>
      <c r="K213" s="1"/>
    </row>
    <row r="214" spans="1:11">
      <c r="A214" s="1" t="str">
        <f t="shared" si="5"/>
        <v/>
      </c>
      <c r="B214" s="1" t="str">
        <f t="shared" si="6"/>
        <v/>
      </c>
      <c r="C214" s="1" t="str">
        <f t="shared" si="7"/>
        <v/>
      </c>
      <c r="D214" s="1" t="str">
        <f t="shared" si="8"/>
        <v/>
      </c>
      <c r="K214" s="1"/>
    </row>
    <row r="215" spans="1:11">
      <c r="A215" s="1" t="str">
        <f t="shared" si="5"/>
        <v/>
      </c>
      <c r="B215" s="1" t="str">
        <f t="shared" si="6"/>
        <v/>
      </c>
      <c r="C215" s="1" t="str">
        <f t="shared" si="7"/>
        <v/>
      </c>
      <c r="D215" s="1" t="str">
        <f t="shared" si="8"/>
        <v/>
      </c>
      <c r="K215" s="1"/>
    </row>
    <row r="216" spans="1:11">
      <c r="A216" s="1" t="str">
        <f t="shared" si="5"/>
        <v/>
      </c>
      <c r="B216" s="1" t="str">
        <f t="shared" si="6"/>
        <v/>
      </c>
      <c r="C216" s="1" t="str">
        <f t="shared" si="7"/>
        <v/>
      </c>
      <c r="D216" s="1" t="str">
        <f t="shared" si="8"/>
        <v/>
      </c>
      <c r="K216" s="1"/>
    </row>
    <row r="217" spans="1:11">
      <c r="A217" s="1" t="str">
        <f t="shared" si="5"/>
        <v/>
      </c>
      <c r="B217" s="1" t="str">
        <f t="shared" si="6"/>
        <v/>
      </c>
      <c r="C217" s="1" t="str">
        <f t="shared" si="7"/>
        <v/>
      </c>
      <c r="D217" s="1" t="str">
        <f t="shared" si="8"/>
        <v/>
      </c>
      <c r="K217" s="1"/>
    </row>
    <row r="218" spans="1:11">
      <c r="A218" s="1" t="str">
        <f t="shared" si="5"/>
        <v/>
      </c>
      <c r="B218" s="1" t="str">
        <f t="shared" si="6"/>
        <v/>
      </c>
      <c r="C218" s="1" t="str">
        <f t="shared" si="7"/>
        <v/>
      </c>
      <c r="D218" s="1" t="str">
        <f t="shared" si="8"/>
        <v/>
      </c>
      <c r="K218" s="1"/>
    </row>
    <row r="219" spans="1:11">
      <c r="A219" s="1" t="str">
        <f t="shared" si="5"/>
        <v/>
      </c>
      <c r="B219" s="1" t="str">
        <f t="shared" si="6"/>
        <v/>
      </c>
      <c r="C219" s="1" t="str">
        <f t="shared" si="7"/>
        <v/>
      </c>
      <c r="D219" s="1" t="str">
        <f t="shared" si="8"/>
        <v/>
      </c>
      <c r="K219" s="1"/>
    </row>
    <row r="220" spans="1:11">
      <c r="A220" s="1" t="str">
        <f t="shared" si="5"/>
        <v/>
      </c>
      <c r="B220" s="1" t="str">
        <f t="shared" si="6"/>
        <v/>
      </c>
      <c r="C220" s="1" t="str">
        <f t="shared" si="7"/>
        <v/>
      </c>
      <c r="D220" s="1" t="str">
        <f t="shared" si="8"/>
        <v/>
      </c>
      <c r="K220" s="1"/>
    </row>
    <row r="221" spans="1:11">
      <c r="A221" s="1" t="str">
        <f t="shared" si="5"/>
        <v/>
      </c>
      <c r="B221" s="1" t="str">
        <f t="shared" si="6"/>
        <v/>
      </c>
      <c r="C221" s="1" t="str">
        <f t="shared" si="7"/>
        <v/>
      </c>
      <c r="D221" s="1" t="str">
        <f t="shared" si="8"/>
        <v/>
      </c>
      <c r="K221" s="1"/>
    </row>
    <row r="222" spans="1:11">
      <c r="A222" s="1" t="str">
        <f t="shared" si="5"/>
        <v/>
      </c>
      <c r="B222" s="1" t="str">
        <f t="shared" si="6"/>
        <v/>
      </c>
      <c r="C222" s="1" t="str">
        <f t="shared" si="7"/>
        <v/>
      </c>
      <c r="D222" s="1" t="str">
        <f t="shared" si="8"/>
        <v/>
      </c>
      <c r="K222" s="1"/>
    </row>
    <row r="223" spans="1:11">
      <c r="A223" s="1" t="str">
        <f t="shared" si="5"/>
        <v/>
      </c>
      <c r="B223" s="1" t="str">
        <f t="shared" si="6"/>
        <v/>
      </c>
      <c r="C223" s="1" t="str">
        <f t="shared" si="7"/>
        <v/>
      </c>
      <c r="D223" s="1" t="str">
        <f t="shared" si="8"/>
        <v/>
      </c>
      <c r="K223" s="1"/>
    </row>
    <row r="224" spans="1:11">
      <c r="A224" s="1" t="str">
        <f t="shared" si="5"/>
        <v/>
      </c>
      <c r="B224" s="1" t="str">
        <f t="shared" si="6"/>
        <v/>
      </c>
      <c r="C224" s="1" t="str">
        <f t="shared" si="7"/>
        <v/>
      </c>
      <c r="D224" s="1" t="str">
        <f t="shared" si="8"/>
        <v/>
      </c>
      <c r="K224" s="1"/>
    </row>
    <row r="225" spans="1:11">
      <c r="A225" s="1" t="str">
        <f t="shared" si="5"/>
        <v/>
      </c>
      <c r="B225" s="1" t="str">
        <f t="shared" si="6"/>
        <v/>
      </c>
      <c r="C225" s="1" t="str">
        <f t="shared" si="7"/>
        <v/>
      </c>
      <c r="D225" s="1" t="str">
        <f t="shared" si="8"/>
        <v/>
      </c>
      <c r="K225" s="1"/>
    </row>
    <row r="226" spans="1:11">
      <c r="A226" s="1" t="str">
        <f t="shared" si="5"/>
        <v/>
      </c>
      <c r="B226" s="1" t="str">
        <f t="shared" si="6"/>
        <v/>
      </c>
      <c r="C226" s="1" t="str">
        <f t="shared" si="7"/>
        <v/>
      </c>
      <c r="D226" s="1" t="str">
        <f t="shared" si="8"/>
        <v/>
      </c>
      <c r="K226" s="1"/>
    </row>
    <row r="227" spans="1:11">
      <c r="A227" s="1" t="str">
        <f t="shared" si="5"/>
        <v/>
      </c>
      <c r="B227" s="1" t="str">
        <f t="shared" si="6"/>
        <v/>
      </c>
      <c r="C227" s="1" t="str">
        <f t="shared" si="7"/>
        <v/>
      </c>
      <c r="D227" s="1" t="str">
        <f t="shared" si="8"/>
        <v/>
      </c>
      <c r="K227" s="1"/>
    </row>
    <row r="228" spans="1:11">
      <c r="A228" s="1" t="str">
        <f t="shared" si="5"/>
        <v/>
      </c>
      <c r="B228" s="1" t="str">
        <f t="shared" si="6"/>
        <v/>
      </c>
      <c r="C228" s="1" t="str">
        <f t="shared" si="7"/>
        <v/>
      </c>
      <c r="D228" s="1" t="str">
        <f t="shared" si="8"/>
        <v/>
      </c>
      <c r="K228" s="1"/>
    </row>
    <row r="229" spans="1:11">
      <c r="A229" s="1" t="str">
        <f t="shared" si="5"/>
        <v/>
      </c>
      <c r="B229" s="1" t="str">
        <f t="shared" si="6"/>
        <v/>
      </c>
      <c r="C229" s="1" t="str">
        <f t="shared" si="7"/>
        <v/>
      </c>
      <c r="D229" s="1" t="str">
        <f t="shared" si="8"/>
        <v/>
      </c>
      <c r="K229" s="1"/>
    </row>
    <row r="230" spans="1:11">
      <c r="A230" s="1" t="str">
        <f t="shared" si="5"/>
        <v/>
      </c>
      <c r="B230" s="1" t="str">
        <f t="shared" si="6"/>
        <v/>
      </c>
      <c r="C230" s="1" t="str">
        <f t="shared" si="7"/>
        <v/>
      </c>
      <c r="D230" s="1" t="str">
        <f t="shared" si="8"/>
        <v/>
      </c>
      <c r="K230" s="1"/>
    </row>
    <row r="231" spans="1:11">
      <c r="A231" s="1" t="str">
        <f t="shared" si="5"/>
        <v/>
      </c>
      <c r="B231" s="1" t="str">
        <f t="shared" si="6"/>
        <v/>
      </c>
      <c r="C231" s="1" t="str">
        <f t="shared" si="7"/>
        <v/>
      </c>
      <c r="D231" s="1" t="str">
        <f t="shared" si="8"/>
        <v/>
      </c>
      <c r="K231" s="1"/>
    </row>
    <row r="232" spans="1:11">
      <c r="A232" s="1" t="str">
        <f t="shared" si="5"/>
        <v/>
      </c>
      <c r="B232" s="1" t="str">
        <f t="shared" si="6"/>
        <v/>
      </c>
      <c r="C232" s="1" t="str">
        <f t="shared" si="7"/>
        <v/>
      </c>
      <c r="D232" s="1" t="str">
        <f t="shared" si="8"/>
        <v/>
      </c>
      <c r="K232" s="1"/>
    </row>
    <row r="233" spans="1:11">
      <c r="A233" s="1" t="str">
        <f t="shared" si="5"/>
        <v/>
      </c>
      <c r="B233" s="1" t="str">
        <f t="shared" si="6"/>
        <v/>
      </c>
      <c r="C233" s="1" t="str">
        <f t="shared" si="7"/>
        <v/>
      </c>
      <c r="D233" s="1" t="str">
        <f t="shared" si="8"/>
        <v/>
      </c>
      <c r="K233" s="1"/>
    </row>
    <row r="234" spans="1:11">
      <c r="A234" s="1" t="str">
        <f t="shared" si="5"/>
        <v/>
      </c>
      <c r="B234" s="1" t="str">
        <f t="shared" si="6"/>
        <v/>
      </c>
      <c r="C234" s="1" t="str">
        <f t="shared" si="7"/>
        <v/>
      </c>
      <c r="D234" s="1" t="str">
        <f t="shared" si="8"/>
        <v/>
      </c>
      <c r="K234" s="1"/>
    </row>
    <row r="235" spans="1:11">
      <c r="A235" s="1" t="str">
        <f t="shared" si="5"/>
        <v/>
      </c>
      <c r="B235" s="1" t="str">
        <f t="shared" si="6"/>
        <v/>
      </c>
      <c r="C235" s="1" t="str">
        <f t="shared" si="7"/>
        <v/>
      </c>
      <c r="D235" s="1" t="str">
        <f t="shared" si="8"/>
        <v/>
      </c>
      <c r="K235" s="1"/>
    </row>
    <row r="236" spans="1:11">
      <c r="A236" s="1" t="str">
        <f t="shared" si="5"/>
        <v/>
      </c>
      <c r="B236" s="1" t="str">
        <f t="shared" si="6"/>
        <v/>
      </c>
      <c r="C236" s="1" t="str">
        <f t="shared" si="7"/>
        <v/>
      </c>
      <c r="D236" s="1" t="str">
        <f t="shared" si="8"/>
        <v/>
      </c>
      <c r="K236" s="1"/>
    </row>
    <row r="237" spans="1:11">
      <c r="K237" s="1"/>
    </row>
    <row r="238" spans="1:11">
      <c r="K238" s="1"/>
    </row>
    <row r="239" spans="1:11">
      <c r="K239" s="1"/>
    </row>
    <row r="240" spans="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</sheetData>
  <autoFilter ref="K1:K1011" xr:uid="{00000000-0009-0000-0000-000008000000}"/>
  <dataValidations count="1">
    <dataValidation type="list" allowBlank="1" showErrorMessage="1" sqref="K1:K158 K162:K1008" xr:uid="{00000000-0002-0000-0800-000000000000}">
      <formula1>"Assurances/Mutuelle,Bricolage/Travaux,Catégorie,Charges,Courses,Divers,Internet/Téléphone,Logement,Loisirs,Medical,Scolarité,Soins,Vêtements,Voiture/Déplacement,Cadeau"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008"/>
  <sheetViews>
    <sheetView workbookViewId="0"/>
  </sheetViews>
  <sheetFormatPr defaultColWidth="12.6640625" defaultRowHeight="15.75" customHeight="1"/>
  <cols>
    <col min="1" max="1" width="22.88671875" customWidth="1"/>
    <col min="2" max="2" width="31.21875" customWidth="1"/>
    <col min="5" max="5" width="24.109375" customWidth="1"/>
    <col min="7" max="7" width="28.77734375" customWidth="1"/>
    <col min="9" max="9" width="17.44140625" customWidth="1"/>
    <col min="11" max="11" width="29.21875" customWidth="1"/>
  </cols>
  <sheetData>
    <row r="1" spans="1:29">
      <c r="A1" s="1"/>
      <c r="B1" s="1" t="s">
        <v>27</v>
      </c>
      <c r="C1" s="1"/>
      <c r="D1" s="1"/>
      <c r="E1" s="1" t="s">
        <v>28</v>
      </c>
      <c r="K1" s="1" t="s">
        <v>29</v>
      </c>
    </row>
    <row r="2" spans="1:29">
      <c r="K2" s="1"/>
    </row>
    <row r="3" spans="1:29">
      <c r="A3" s="1"/>
      <c r="B3" s="1" t="s">
        <v>30</v>
      </c>
      <c r="C3" s="1">
        <v>6365.48</v>
      </c>
      <c r="E3" s="1" t="s">
        <v>31</v>
      </c>
      <c r="F3" s="1">
        <v>669.7</v>
      </c>
      <c r="G3" s="1" t="s">
        <v>32</v>
      </c>
      <c r="H3" s="1">
        <f t="shared" ref="H3:H6" si="0">IF(G3="x",F3,0)</f>
        <v>669.7</v>
      </c>
      <c r="K3" s="1" t="s">
        <v>25</v>
      </c>
    </row>
    <row r="4" spans="1:29">
      <c r="A4" s="1"/>
      <c r="B4" s="1" t="s">
        <v>33</v>
      </c>
      <c r="C4" s="1">
        <v>1828.73</v>
      </c>
      <c r="E4" s="1" t="s">
        <v>34</v>
      </c>
      <c r="H4" s="1">
        <f t="shared" si="0"/>
        <v>0</v>
      </c>
      <c r="K4" s="1" t="s">
        <v>26</v>
      </c>
    </row>
    <row r="5" spans="1:29">
      <c r="A5" s="1"/>
      <c r="B5" s="1" t="s">
        <v>35</v>
      </c>
      <c r="C5" s="1">
        <v>113.3</v>
      </c>
      <c r="E5" s="1" t="s">
        <v>36</v>
      </c>
      <c r="F5" s="1">
        <v>70</v>
      </c>
      <c r="G5" s="1" t="s">
        <v>32</v>
      </c>
      <c r="H5" s="1">
        <f t="shared" si="0"/>
        <v>70</v>
      </c>
      <c r="K5" s="1" t="s">
        <v>26</v>
      </c>
    </row>
    <row r="6" spans="1:29">
      <c r="E6" s="11" t="s">
        <v>37</v>
      </c>
      <c r="F6" s="10">
        <v>164.99</v>
      </c>
      <c r="G6" s="11" t="s">
        <v>32</v>
      </c>
      <c r="H6" s="1">
        <f t="shared" si="0"/>
        <v>164.99</v>
      </c>
      <c r="K6" s="1" t="s">
        <v>26</v>
      </c>
    </row>
    <row r="7" spans="1:29">
      <c r="A7" s="11"/>
      <c r="D7" s="11"/>
      <c r="E7" s="1" t="s">
        <v>38</v>
      </c>
      <c r="F7" s="1">
        <v>995.15</v>
      </c>
      <c r="G7" s="11" t="s">
        <v>32</v>
      </c>
      <c r="H7" s="10">
        <f>IF(G7="x",F7,0)</f>
        <v>995.15</v>
      </c>
      <c r="I7" s="11"/>
      <c r="J7" s="11"/>
      <c r="K7" s="1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B8" s="1" t="s">
        <v>302</v>
      </c>
      <c r="C8" s="1">
        <v>150</v>
      </c>
      <c r="E8" s="1" t="s">
        <v>40</v>
      </c>
      <c r="F8" s="1">
        <v>883.42</v>
      </c>
      <c r="G8" s="1" t="s">
        <v>32</v>
      </c>
      <c r="H8" s="1">
        <f t="shared" ref="H8:H21" si="1">IF(G8="x",F8,0)</f>
        <v>883.42</v>
      </c>
      <c r="K8" s="1" t="s">
        <v>25</v>
      </c>
    </row>
    <row r="9" spans="1:29">
      <c r="B9" s="11" t="s">
        <v>182</v>
      </c>
      <c r="C9" s="11">
        <v>121.83</v>
      </c>
      <c r="E9" s="1" t="s">
        <v>42</v>
      </c>
      <c r="F9" s="1">
        <v>11.46</v>
      </c>
      <c r="G9" s="1" t="s">
        <v>32</v>
      </c>
      <c r="H9" s="1">
        <f t="shared" si="1"/>
        <v>11.46</v>
      </c>
      <c r="K9" s="1" t="s">
        <v>25</v>
      </c>
    </row>
    <row r="10" spans="1:29">
      <c r="B10" s="1" t="s">
        <v>304</v>
      </c>
      <c r="C10" s="1">
        <v>21</v>
      </c>
      <c r="E10" s="1" t="s">
        <v>42</v>
      </c>
      <c r="F10" s="1">
        <v>32.57</v>
      </c>
      <c r="G10" s="1" t="s">
        <v>32</v>
      </c>
      <c r="H10" s="1">
        <f t="shared" si="1"/>
        <v>32.57</v>
      </c>
      <c r="K10" s="1" t="s">
        <v>25</v>
      </c>
    </row>
    <row r="11" spans="1:29">
      <c r="B11" s="1" t="s">
        <v>261</v>
      </c>
      <c r="C11" s="1">
        <v>2.1800000000000002</v>
      </c>
      <c r="E11" s="1" t="s">
        <v>42</v>
      </c>
      <c r="F11" s="1">
        <v>79.98</v>
      </c>
      <c r="G11" s="1" t="s">
        <v>32</v>
      </c>
      <c r="H11" s="1">
        <f t="shared" si="1"/>
        <v>79.98</v>
      </c>
      <c r="K11" s="1" t="s">
        <v>25</v>
      </c>
    </row>
    <row r="12" spans="1:29">
      <c r="B12" s="1" t="s">
        <v>261</v>
      </c>
      <c r="C12" s="1">
        <v>4.97</v>
      </c>
      <c r="E12" s="1" t="s">
        <v>42</v>
      </c>
      <c r="F12" s="1">
        <v>28.49</v>
      </c>
      <c r="G12" s="1" t="s">
        <v>32</v>
      </c>
      <c r="H12" s="1">
        <f t="shared" si="1"/>
        <v>28.49</v>
      </c>
      <c r="K12" s="1" t="s">
        <v>25</v>
      </c>
    </row>
    <row r="13" spans="1:29">
      <c r="E13" s="1" t="s">
        <v>43</v>
      </c>
      <c r="F13" s="1">
        <v>6.99</v>
      </c>
      <c r="G13" s="1" t="s">
        <v>32</v>
      </c>
      <c r="H13" s="1">
        <f t="shared" si="1"/>
        <v>6.99</v>
      </c>
      <c r="K13" s="1" t="s">
        <v>44</v>
      </c>
    </row>
    <row r="14" spans="1:29">
      <c r="E14" s="1" t="s">
        <v>45</v>
      </c>
      <c r="F14" s="1">
        <v>65</v>
      </c>
      <c r="G14" s="1" t="s">
        <v>32</v>
      </c>
      <c r="H14" s="1">
        <f t="shared" si="1"/>
        <v>65</v>
      </c>
      <c r="K14" s="1" t="s">
        <v>26</v>
      </c>
    </row>
    <row r="15" spans="1:29">
      <c r="E15" s="1" t="s">
        <v>46</v>
      </c>
      <c r="F15" s="1">
        <v>208</v>
      </c>
      <c r="G15" s="1" t="s">
        <v>32</v>
      </c>
      <c r="H15" s="1">
        <f t="shared" si="1"/>
        <v>208</v>
      </c>
      <c r="K15" s="1" t="s">
        <v>26</v>
      </c>
    </row>
    <row r="16" spans="1:29">
      <c r="E16" s="1" t="s">
        <v>47</v>
      </c>
      <c r="F16" s="1">
        <v>24.99</v>
      </c>
      <c r="G16" s="1" t="s">
        <v>32</v>
      </c>
      <c r="H16" s="1">
        <f t="shared" si="1"/>
        <v>24.99</v>
      </c>
      <c r="K16" s="1" t="s">
        <v>44</v>
      </c>
    </row>
    <row r="17" spans="1:29">
      <c r="E17" s="1" t="s">
        <v>164</v>
      </c>
      <c r="F17" s="1">
        <v>14.99</v>
      </c>
      <c r="G17" s="1" t="s">
        <v>32</v>
      </c>
      <c r="H17" s="1">
        <f t="shared" si="1"/>
        <v>14.99</v>
      </c>
      <c r="K17" s="1" t="s">
        <v>44</v>
      </c>
    </row>
    <row r="18" spans="1:29">
      <c r="E18" s="1" t="s">
        <v>48</v>
      </c>
      <c r="F18" s="1">
        <v>14.99</v>
      </c>
      <c r="G18" s="1" t="s">
        <v>32</v>
      </c>
      <c r="H18" s="1">
        <f t="shared" si="1"/>
        <v>14.99</v>
      </c>
      <c r="K18" s="1" t="s">
        <v>44</v>
      </c>
    </row>
    <row r="19" spans="1:29">
      <c r="E19" s="1" t="s">
        <v>49</v>
      </c>
      <c r="F19" s="1">
        <v>14.99</v>
      </c>
      <c r="H19" s="1">
        <f t="shared" si="1"/>
        <v>0</v>
      </c>
      <c r="K19" s="1" t="s">
        <v>44</v>
      </c>
    </row>
    <row r="20" spans="1:29">
      <c r="E20" s="1" t="s">
        <v>50</v>
      </c>
      <c r="F20" s="1">
        <v>10.99</v>
      </c>
      <c r="G20" s="1" t="s">
        <v>32</v>
      </c>
      <c r="H20" s="1">
        <f t="shared" si="1"/>
        <v>10.99</v>
      </c>
      <c r="K20" s="1" t="s">
        <v>44</v>
      </c>
    </row>
    <row r="21" spans="1:29">
      <c r="E21" s="1" t="s">
        <v>51</v>
      </c>
      <c r="F21" s="1">
        <v>104.98</v>
      </c>
      <c r="G21" s="1" t="s">
        <v>32</v>
      </c>
      <c r="H21" s="1">
        <f t="shared" si="1"/>
        <v>104.98</v>
      </c>
      <c r="K21" s="1" t="s">
        <v>52</v>
      </c>
    </row>
    <row r="22" spans="1:29">
      <c r="K22" s="1"/>
    </row>
    <row r="23" spans="1:29">
      <c r="E23" s="1" t="s">
        <v>305</v>
      </c>
      <c r="F23" s="1">
        <v>60.09</v>
      </c>
      <c r="G23" s="1" t="s">
        <v>32</v>
      </c>
      <c r="H23" s="1">
        <f t="shared" ref="H23:H29" si="2">IF(G23="x",F23,0)</f>
        <v>60.09</v>
      </c>
      <c r="K23" s="1" t="s">
        <v>52</v>
      </c>
    </row>
    <row r="24" spans="1:29">
      <c r="E24" s="1" t="s">
        <v>105</v>
      </c>
      <c r="F24" s="1">
        <v>331.65</v>
      </c>
      <c r="G24" s="1" t="s">
        <v>32</v>
      </c>
      <c r="H24" s="1">
        <f t="shared" si="2"/>
        <v>331.65</v>
      </c>
      <c r="K24" s="1" t="s">
        <v>55</v>
      </c>
    </row>
    <row r="25" spans="1:29">
      <c r="E25" s="1" t="s">
        <v>266</v>
      </c>
      <c r="F25" s="1">
        <v>133.69999999999999</v>
      </c>
      <c r="G25" s="1" t="s">
        <v>32</v>
      </c>
      <c r="H25" s="1">
        <f t="shared" si="2"/>
        <v>133.69999999999999</v>
      </c>
      <c r="K25" s="1" t="s">
        <v>52</v>
      </c>
    </row>
    <row r="26" spans="1:29">
      <c r="E26" s="1" t="s">
        <v>57</v>
      </c>
      <c r="F26" s="1">
        <v>29.97</v>
      </c>
      <c r="G26" s="1" t="s">
        <v>32</v>
      </c>
      <c r="H26" s="1">
        <f t="shared" si="2"/>
        <v>29.97</v>
      </c>
      <c r="K26" s="1" t="s">
        <v>52</v>
      </c>
    </row>
    <row r="27" spans="1:29">
      <c r="E27" s="1" t="s">
        <v>58</v>
      </c>
      <c r="F27" s="1">
        <v>20</v>
      </c>
      <c r="G27" s="1" t="s">
        <v>32</v>
      </c>
      <c r="H27" s="1">
        <f t="shared" si="2"/>
        <v>20</v>
      </c>
      <c r="K27" s="1" t="s">
        <v>59</v>
      </c>
    </row>
    <row r="28" spans="1:29">
      <c r="E28" s="1" t="s">
        <v>60</v>
      </c>
      <c r="F28" s="1">
        <v>21.99</v>
      </c>
      <c r="G28" s="1" t="s">
        <v>32</v>
      </c>
      <c r="H28" s="1">
        <f t="shared" si="2"/>
        <v>21.99</v>
      </c>
      <c r="K28" s="1" t="s">
        <v>44</v>
      </c>
    </row>
    <row r="29" spans="1:29">
      <c r="H29" s="1">
        <f t="shared" si="2"/>
        <v>0</v>
      </c>
      <c r="K29" s="1" t="s">
        <v>55</v>
      </c>
    </row>
    <row r="30" spans="1:29">
      <c r="E30" s="1" t="s">
        <v>61</v>
      </c>
      <c r="F30" s="1">
        <v>21.4</v>
      </c>
      <c r="G30" s="11" t="s">
        <v>32</v>
      </c>
      <c r="H30" s="10">
        <f>IF(G30="x",F30,0)</f>
        <v>21.4</v>
      </c>
      <c r="K30" s="1" t="s">
        <v>55</v>
      </c>
    </row>
    <row r="31" spans="1:29">
      <c r="E31" s="11" t="s">
        <v>62</v>
      </c>
      <c r="F31" s="10">
        <v>0.99</v>
      </c>
      <c r="G31" s="1" t="s">
        <v>32</v>
      </c>
      <c r="H31" s="1">
        <f t="shared" ref="H31:H37" si="3">IF(G31="x",F31,0)</f>
        <v>0.99</v>
      </c>
      <c r="K31" s="1" t="s">
        <v>44</v>
      </c>
    </row>
    <row r="32" spans="1:29">
      <c r="A32" s="11"/>
      <c r="B32" s="11"/>
      <c r="C32" s="11"/>
      <c r="D32" s="11"/>
      <c r="E32" s="1" t="s">
        <v>62</v>
      </c>
      <c r="F32" s="1">
        <v>16.989999999999998</v>
      </c>
      <c r="G32" s="1" t="s">
        <v>32</v>
      </c>
      <c r="H32" s="1">
        <f t="shared" si="3"/>
        <v>16.989999999999998</v>
      </c>
      <c r="I32" s="11"/>
      <c r="J32" s="11"/>
      <c r="K32" s="1" t="s">
        <v>44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A33" s="11"/>
      <c r="B33" s="11"/>
      <c r="C33" s="11"/>
      <c r="D33" s="11"/>
      <c r="E33" s="1" t="s">
        <v>106</v>
      </c>
      <c r="F33" s="1">
        <v>178.3</v>
      </c>
      <c r="G33" s="1" t="s">
        <v>32</v>
      </c>
      <c r="H33" s="1">
        <f t="shared" si="3"/>
        <v>178.3</v>
      </c>
      <c r="I33" s="11"/>
      <c r="J33" s="11"/>
      <c r="K33" s="1" t="s">
        <v>64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E34" s="1" t="s">
        <v>65</v>
      </c>
      <c r="F34" s="1">
        <v>170</v>
      </c>
      <c r="G34" s="1" t="s">
        <v>32</v>
      </c>
      <c r="H34" s="1">
        <f t="shared" si="3"/>
        <v>170</v>
      </c>
      <c r="K34" s="1" t="s">
        <v>25</v>
      </c>
    </row>
    <row r="35" spans="1:29">
      <c r="A35" s="1"/>
      <c r="E35" s="1" t="s">
        <v>66</v>
      </c>
      <c r="F35" s="1">
        <v>78.430000000000007</v>
      </c>
      <c r="G35" s="1" t="s">
        <v>32</v>
      </c>
      <c r="H35" s="1">
        <f t="shared" si="3"/>
        <v>78.430000000000007</v>
      </c>
      <c r="K35" s="1" t="s">
        <v>25</v>
      </c>
    </row>
    <row r="36" spans="1:29">
      <c r="A36" s="1"/>
      <c r="C36" s="1"/>
      <c r="E36" s="1" t="s">
        <v>67</v>
      </c>
      <c r="F36" s="1">
        <v>16.850000000000001</v>
      </c>
      <c r="G36" s="1" t="s">
        <v>32</v>
      </c>
      <c r="H36" s="1">
        <f t="shared" si="3"/>
        <v>16.850000000000001</v>
      </c>
      <c r="K36" s="1" t="s">
        <v>26</v>
      </c>
    </row>
    <row r="37" spans="1:29">
      <c r="A37" s="1"/>
      <c r="C37" s="1"/>
      <c r="E37" s="1" t="s">
        <v>68</v>
      </c>
      <c r="F37" s="1">
        <v>33.89</v>
      </c>
      <c r="G37" s="1" t="s">
        <v>32</v>
      </c>
      <c r="H37" s="1">
        <f t="shared" si="3"/>
        <v>33.89</v>
      </c>
      <c r="K37" s="1" t="s">
        <v>26</v>
      </c>
    </row>
    <row r="38" spans="1:29">
      <c r="A38" s="1"/>
      <c r="C38" s="1"/>
      <c r="K38" s="1"/>
    </row>
    <row r="39" spans="1:29">
      <c r="A39" s="1" t="s">
        <v>69</v>
      </c>
      <c r="C39" s="1" t="e">
        <f>'Mars 2026'!D43</f>
        <v>#REF!</v>
      </c>
      <c r="K39" s="1"/>
    </row>
    <row r="40" spans="1:29">
      <c r="A40" s="1" t="s">
        <v>70</v>
      </c>
      <c r="C40" s="1">
        <f>SUM(C2:C6)</f>
        <v>8307.5099999999984</v>
      </c>
      <c r="E40" s="1" t="s">
        <v>71</v>
      </c>
      <c r="F40" s="1">
        <f>SUM(F2:F38)</f>
        <v>4515.9299999999994</v>
      </c>
      <c r="G40" s="1" t="s">
        <v>72</v>
      </c>
      <c r="H40" s="1">
        <f>SUM(H2:H38)</f>
        <v>4500.9399999999996</v>
      </c>
      <c r="I40" s="1" t="s">
        <v>73</v>
      </c>
      <c r="K40" s="1"/>
    </row>
    <row r="41" spans="1:29">
      <c r="A41" s="1" t="s">
        <v>74</v>
      </c>
      <c r="C41" s="1">
        <f>SUM(C8:C35)</f>
        <v>299.98</v>
      </c>
      <c r="E41" s="1" t="s">
        <v>75</v>
      </c>
      <c r="F41" s="1" t="e">
        <f>C42-F40</f>
        <v>#REF!</v>
      </c>
      <c r="G41" s="1" t="s">
        <v>76</v>
      </c>
      <c r="H41" s="1" t="e">
        <f>C39+C40+C41-H40-F42</f>
        <v>#REF!</v>
      </c>
      <c r="K41" s="1"/>
    </row>
    <row r="42" spans="1:29">
      <c r="A42" s="1" t="s">
        <v>77</v>
      </c>
      <c r="C42" s="1" t="e">
        <f>SUM(C39:C41)</f>
        <v>#REF!</v>
      </c>
      <c r="E42" s="1" t="s">
        <v>78</v>
      </c>
      <c r="F42" s="1">
        <f>SUM(J44:J246)</f>
        <v>3979.86</v>
      </c>
      <c r="K42" s="1"/>
    </row>
    <row r="43" spans="1:29" ht="15.75" customHeight="1">
      <c r="A43" s="12" t="s">
        <v>79</v>
      </c>
      <c r="B43" s="12" t="e">
        <f>$C$42-$F$40-$F$42</f>
        <v>#REF!</v>
      </c>
      <c r="C43" s="1" t="s">
        <v>80</v>
      </c>
      <c r="D43" s="1" t="e">
        <f>$C$42-$H$40-$F$42</f>
        <v>#REF!</v>
      </c>
      <c r="K43" s="1"/>
    </row>
    <row r="44" spans="1:29">
      <c r="A44" s="1" t="str">
        <f>IF(AND(NOT(ISBLANK(#REF!)),ISBLANK(G44)),"Reste prévu","")</f>
        <v>Reste prévu</v>
      </c>
      <c r="B44" s="1" t="e">
        <f>IF(AND(NOT(ISBLANK(#REF!)),ISBLANK($G44)),$C$42-$F$40-$F$42,"")</f>
        <v>#REF!</v>
      </c>
      <c r="C44" s="1" t="str">
        <f>IF(AND(NOT(ISBLANK(#REF!)),ISBLANK($G44)),"Reste réel","")</f>
        <v>Reste réel</v>
      </c>
      <c r="D44" s="1" t="e">
        <f>IF(AND(NOT(ISBLANK(#REF!)),ISBLANK($G44)),$C$42-$H$40-$F$42,"")</f>
        <v>#REF!</v>
      </c>
      <c r="J44" s="13">
        <f t="shared" ref="J44:J213" si="4">IF(I44="x",H44,0)</f>
        <v>0</v>
      </c>
      <c r="K44" s="1" t="s">
        <v>98</v>
      </c>
    </row>
    <row r="45" spans="1:29">
      <c r="A45" s="1" t="str">
        <f t="shared" ref="A45:A236" si="5">IF(AND(NOT(ISBLANK(G44)),ISBLANK(G45)),"Reste prévu","")</f>
        <v/>
      </c>
      <c r="B45" s="1" t="str">
        <f t="shared" ref="B45:B236" si="6">IF(AND(NOT(ISBLANK($G44)),ISBLANK($G45)),$C$42-$F$40-$F$42,"")</f>
        <v/>
      </c>
      <c r="C45" s="1" t="str">
        <f t="shared" ref="C45:C236" si="7">IF(AND(NOT(ISBLANK($G44)),ISBLANK($G45)),"Reste réel","")</f>
        <v/>
      </c>
      <c r="D45" s="1" t="str">
        <f t="shared" ref="D45:D236" si="8">IF(AND(NOT(ISBLANK($G44)),ISBLANK($G45)),$C$42-$H$40-$F$42,"")</f>
        <v/>
      </c>
      <c r="G45" s="1" t="s">
        <v>320</v>
      </c>
      <c r="H45" s="1">
        <v>96.83</v>
      </c>
      <c r="I45" s="1" t="s">
        <v>32</v>
      </c>
      <c r="J45" s="13">
        <f t="shared" si="4"/>
        <v>96.83</v>
      </c>
      <c r="K45" s="1" t="s">
        <v>59</v>
      </c>
    </row>
    <row r="46" spans="1:29">
      <c r="A46" s="1" t="str">
        <f t="shared" si="5"/>
        <v/>
      </c>
      <c r="B46" s="1" t="str">
        <f t="shared" si="6"/>
        <v/>
      </c>
      <c r="C46" s="1" t="str">
        <f t="shared" si="7"/>
        <v/>
      </c>
      <c r="D46" s="1" t="str">
        <f t="shared" si="8"/>
        <v/>
      </c>
      <c r="G46" s="1" t="s">
        <v>321</v>
      </c>
      <c r="H46" s="1">
        <v>30</v>
      </c>
      <c r="I46" s="1" t="s">
        <v>32</v>
      </c>
      <c r="J46" s="13">
        <f t="shared" si="4"/>
        <v>30</v>
      </c>
      <c r="K46" s="1" t="s">
        <v>198</v>
      </c>
    </row>
    <row r="47" spans="1:29">
      <c r="A47" s="1" t="str">
        <f t="shared" si="5"/>
        <v/>
      </c>
      <c r="B47" s="1" t="str">
        <f t="shared" si="6"/>
        <v/>
      </c>
      <c r="C47" s="1" t="str">
        <f t="shared" si="7"/>
        <v/>
      </c>
      <c r="D47" s="1" t="str">
        <f t="shared" si="8"/>
        <v/>
      </c>
      <c r="G47" s="1" t="s">
        <v>87</v>
      </c>
      <c r="H47" s="1">
        <v>252.37</v>
      </c>
      <c r="I47" s="1" t="s">
        <v>32</v>
      </c>
      <c r="J47" s="13">
        <f t="shared" si="4"/>
        <v>252.37</v>
      </c>
      <c r="K47" s="1" t="s">
        <v>24</v>
      </c>
    </row>
    <row r="48" spans="1:29">
      <c r="A48" s="1" t="str">
        <f t="shared" si="5"/>
        <v/>
      </c>
      <c r="B48" s="1" t="str">
        <f t="shared" si="6"/>
        <v/>
      </c>
      <c r="C48" s="1" t="str">
        <f t="shared" si="7"/>
        <v/>
      </c>
      <c r="D48" s="1" t="str">
        <f t="shared" si="8"/>
        <v/>
      </c>
      <c r="G48" s="1" t="s">
        <v>126</v>
      </c>
      <c r="H48" s="1">
        <v>9</v>
      </c>
      <c r="I48" s="1" t="s">
        <v>32</v>
      </c>
      <c r="J48" s="13">
        <f t="shared" si="4"/>
        <v>9</v>
      </c>
      <c r="K48" s="1" t="s">
        <v>55</v>
      </c>
    </row>
    <row r="49" spans="1:11">
      <c r="A49" s="1" t="str">
        <f t="shared" si="5"/>
        <v/>
      </c>
      <c r="B49" s="1" t="str">
        <f t="shared" si="6"/>
        <v/>
      </c>
      <c r="C49" s="1" t="str">
        <f t="shared" si="7"/>
        <v/>
      </c>
      <c r="D49" s="1" t="str">
        <f t="shared" si="8"/>
        <v/>
      </c>
      <c r="G49" s="1" t="s">
        <v>87</v>
      </c>
      <c r="H49" s="1">
        <v>20.84</v>
      </c>
      <c r="I49" s="1" t="s">
        <v>32</v>
      </c>
      <c r="J49" s="13">
        <f t="shared" si="4"/>
        <v>20.84</v>
      </c>
      <c r="K49" s="1" t="s">
        <v>24</v>
      </c>
    </row>
    <row r="50" spans="1:11">
      <c r="A50" s="1" t="str">
        <f t="shared" si="5"/>
        <v/>
      </c>
      <c r="B50" s="1" t="str">
        <f t="shared" si="6"/>
        <v/>
      </c>
      <c r="C50" s="1" t="str">
        <f t="shared" si="7"/>
        <v/>
      </c>
      <c r="D50" s="1" t="str">
        <f t="shared" si="8"/>
        <v/>
      </c>
      <c r="G50" s="1" t="s">
        <v>59</v>
      </c>
      <c r="H50" s="1">
        <v>49</v>
      </c>
      <c r="I50" s="1" t="s">
        <v>32</v>
      </c>
      <c r="J50" s="13">
        <f t="shared" si="4"/>
        <v>49</v>
      </c>
      <c r="K50" s="1" t="s">
        <v>29</v>
      </c>
    </row>
    <row r="51" spans="1:11">
      <c r="A51" s="1" t="str">
        <f t="shared" si="5"/>
        <v/>
      </c>
      <c r="B51" s="1" t="str">
        <f t="shared" si="6"/>
        <v/>
      </c>
      <c r="C51" s="1" t="str">
        <f t="shared" si="7"/>
        <v/>
      </c>
      <c r="D51" s="1" t="str">
        <f t="shared" si="8"/>
        <v/>
      </c>
      <c r="G51" s="1" t="s">
        <v>59</v>
      </c>
      <c r="H51" s="1">
        <v>75</v>
      </c>
      <c r="I51" s="1" t="s">
        <v>32</v>
      </c>
      <c r="J51" s="13">
        <f t="shared" si="4"/>
        <v>75</v>
      </c>
      <c r="K51" s="1" t="s">
        <v>29</v>
      </c>
    </row>
    <row r="52" spans="1:11">
      <c r="A52" s="1" t="str">
        <f t="shared" si="5"/>
        <v/>
      </c>
      <c r="B52" s="1" t="str">
        <f t="shared" si="6"/>
        <v/>
      </c>
      <c r="C52" s="1" t="str">
        <f t="shared" si="7"/>
        <v/>
      </c>
      <c r="D52" s="1" t="str">
        <f t="shared" si="8"/>
        <v/>
      </c>
      <c r="G52" s="1" t="s">
        <v>86</v>
      </c>
      <c r="H52" s="1">
        <v>9.99</v>
      </c>
      <c r="I52" s="1" t="s">
        <v>32</v>
      </c>
      <c r="J52" s="13">
        <f t="shared" si="4"/>
        <v>9.99</v>
      </c>
      <c r="K52" s="1" t="s">
        <v>44</v>
      </c>
    </row>
    <row r="53" spans="1:11">
      <c r="A53" s="1" t="str">
        <f t="shared" si="5"/>
        <v/>
      </c>
      <c r="B53" s="1" t="str">
        <f t="shared" si="6"/>
        <v/>
      </c>
      <c r="C53" s="1" t="str">
        <f t="shared" si="7"/>
        <v/>
      </c>
      <c r="D53" s="1" t="str">
        <f t="shared" si="8"/>
        <v/>
      </c>
      <c r="G53" s="1" t="s">
        <v>181</v>
      </c>
      <c r="H53" s="1">
        <v>33.75</v>
      </c>
      <c r="I53" s="1" t="s">
        <v>32</v>
      </c>
      <c r="J53" s="13">
        <f t="shared" si="4"/>
        <v>33.75</v>
      </c>
      <c r="K53" s="1" t="s">
        <v>24</v>
      </c>
    </row>
    <row r="54" spans="1:11">
      <c r="A54" s="1" t="str">
        <f t="shared" si="5"/>
        <v/>
      </c>
      <c r="B54" s="1" t="str">
        <f t="shared" si="6"/>
        <v/>
      </c>
      <c r="C54" s="1" t="str">
        <f t="shared" si="7"/>
        <v/>
      </c>
      <c r="D54" s="1" t="str">
        <f t="shared" si="8"/>
        <v/>
      </c>
      <c r="G54" s="1" t="s">
        <v>331</v>
      </c>
      <c r="H54" s="1">
        <v>18</v>
      </c>
      <c r="I54" s="1" t="s">
        <v>32</v>
      </c>
      <c r="J54" s="13">
        <f t="shared" si="4"/>
        <v>18</v>
      </c>
      <c r="K54" s="1" t="s">
        <v>29</v>
      </c>
    </row>
    <row r="55" spans="1:11">
      <c r="A55" s="1" t="str">
        <f t="shared" si="5"/>
        <v/>
      </c>
      <c r="B55" s="1" t="str">
        <f t="shared" si="6"/>
        <v/>
      </c>
      <c r="C55" s="1" t="str">
        <f t="shared" si="7"/>
        <v/>
      </c>
      <c r="D55" s="1" t="str">
        <f t="shared" si="8"/>
        <v/>
      </c>
      <c r="G55" s="1" t="s">
        <v>152</v>
      </c>
      <c r="H55" s="1">
        <v>3.4</v>
      </c>
      <c r="I55" s="1" t="s">
        <v>32</v>
      </c>
      <c r="J55" s="13">
        <f t="shared" si="4"/>
        <v>3.4</v>
      </c>
      <c r="K55" s="1" t="s">
        <v>55</v>
      </c>
    </row>
    <row r="56" spans="1:11">
      <c r="A56" s="1" t="str">
        <f t="shared" si="5"/>
        <v/>
      </c>
      <c r="B56" s="1" t="str">
        <f t="shared" si="6"/>
        <v/>
      </c>
      <c r="C56" s="1" t="str">
        <f t="shared" si="7"/>
        <v/>
      </c>
      <c r="D56" s="1" t="str">
        <f t="shared" si="8"/>
        <v/>
      </c>
      <c r="G56" s="1" t="s">
        <v>281</v>
      </c>
      <c r="H56" s="1">
        <v>6.7</v>
      </c>
      <c r="I56" s="1" t="s">
        <v>32</v>
      </c>
      <c r="J56" s="13">
        <f t="shared" si="4"/>
        <v>6.7</v>
      </c>
      <c r="K56" s="1" t="s">
        <v>24</v>
      </c>
    </row>
    <row r="57" spans="1:11">
      <c r="A57" s="1" t="str">
        <f t="shared" si="5"/>
        <v/>
      </c>
      <c r="B57" s="1" t="str">
        <f t="shared" si="6"/>
        <v/>
      </c>
      <c r="C57" s="1" t="str">
        <f t="shared" si="7"/>
        <v/>
      </c>
      <c r="D57" s="1" t="str">
        <f t="shared" si="8"/>
        <v/>
      </c>
      <c r="G57" s="1" t="s">
        <v>175</v>
      </c>
      <c r="H57" s="1">
        <v>34</v>
      </c>
      <c r="I57" s="1" t="s">
        <v>32</v>
      </c>
      <c r="J57" s="13">
        <f t="shared" si="4"/>
        <v>34</v>
      </c>
      <c r="K57" s="1" t="s">
        <v>55</v>
      </c>
    </row>
    <row r="58" spans="1:11">
      <c r="A58" s="1" t="str">
        <f t="shared" si="5"/>
        <v/>
      </c>
      <c r="B58" s="1" t="str">
        <f t="shared" si="6"/>
        <v/>
      </c>
      <c r="C58" s="1" t="str">
        <f t="shared" si="7"/>
        <v/>
      </c>
      <c r="D58" s="1" t="str">
        <f t="shared" si="8"/>
        <v/>
      </c>
      <c r="G58" s="1" t="s">
        <v>115</v>
      </c>
      <c r="H58" s="1">
        <v>13</v>
      </c>
      <c r="I58" s="1" t="s">
        <v>32</v>
      </c>
      <c r="J58" s="13">
        <f t="shared" si="4"/>
        <v>13</v>
      </c>
      <c r="K58" s="1" t="s">
        <v>59</v>
      </c>
    </row>
    <row r="59" spans="1:11">
      <c r="A59" s="1" t="str">
        <f t="shared" si="5"/>
        <v/>
      </c>
      <c r="B59" s="1" t="str">
        <f t="shared" si="6"/>
        <v/>
      </c>
      <c r="C59" s="1" t="str">
        <f t="shared" si="7"/>
        <v/>
      </c>
      <c r="D59" s="1" t="str">
        <f t="shared" si="8"/>
        <v/>
      </c>
      <c r="G59" s="1" t="s">
        <v>87</v>
      </c>
      <c r="H59" s="1">
        <v>6.5</v>
      </c>
      <c r="I59" s="1" t="s">
        <v>32</v>
      </c>
      <c r="J59" s="13">
        <f t="shared" si="4"/>
        <v>6.5</v>
      </c>
      <c r="K59" s="1" t="s">
        <v>24</v>
      </c>
    </row>
    <row r="60" spans="1:11">
      <c r="A60" s="1" t="str">
        <f t="shared" si="5"/>
        <v/>
      </c>
      <c r="B60" s="1" t="str">
        <f t="shared" si="6"/>
        <v/>
      </c>
      <c r="C60" s="1" t="str">
        <f t="shared" si="7"/>
        <v/>
      </c>
      <c r="D60" s="1" t="str">
        <f t="shared" si="8"/>
        <v/>
      </c>
      <c r="G60" s="1" t="s">
        <v>314</v>
      </c>
      <c r="H60" s="1">
        <v>70</v>
      </c>
      <c r="I60" s="1" t="s">
        <v>32</v>
      </c>
      <c r="J60" s="13">
        <f t="shared" si="4"/>
        <v>70</v>
      </c>
      <c r="K60" s="1" t="s">
        <v>59</v>
      </c>
    </row>
    <row r="61" spans="1:11">
      <c r="A61" s="1" t="str">
        <f t="shared" si="5"/>
        <v/>
      </c>
      <c r="B61" s="1" t="str">
        <f t="shared" si="6"/>
        <v/>
      </c>
      <c r="C61" s="1" t="str">
        <f t="shared" si="7"/>
        <v/>
      </c>
      <c r="D61" s="1" t="str">
        <f t="shared" si="8"/>
        <v/>
      </c>
      <c r="G61" s="1" t="s">
        <v>332</v>
      </c>
      <c r="H61" s="1">
        <v>25.6</v>
      </c>
      <c r="I61" s="1" t="s">
        <v>32</v>
      </c>
      <c r="J61" s="13">
        <f t="shared" si="4"/>
        <v>25.6</v>
      </c>
      <c r="K61" s="1" t="s">
        <v>24</v>
      </c>
    </row>
    <row r="62" spans="1:11">
      <c r="A62" s="1" t="str">
        <f t="shared" si="5"/>
        <v/>
      </c>
      <c r="B62" s="1" t="str">
        <f t="shared" si="6"/>
        <v/>
      </c>
      <c r="C62" s="1" t="str">
        <f t="shared" si="7"/>
        <v/>
      </c>
      <c r="D62" s="1" t="str">
        <f t="shared" si="8"/>
        <v/>
      </c>
      <c r="G62" s="1" t="s">
        <v>332</v>
      </c>
      <c r="H62" s="1">
        <v>70.52</v>
      </c>
      <c r="I62" s="1" t="s">
        <v>32</v>
      </c>
      <c r="J62" s="13">
        <f t="shared" si="4"/>
        <v>70.52</v>
      </c>
      <c r="K62" s="1" t="s">
        <v>24</v>
      </c>
    </row>
    <row r="63" spans="1:11">
      <c r="A63" s="1" t="str">
        <f t="shared" si="5"/>
        <v/>
      </c>
      <c r="B63" s="1" t="str">
        <f t="shared" si="6"/>
        <v/>
      </c>
      <c r="C63" s="1" t="str">
        <f t="shared" si="7"/>
        <v/>
      </c>
      <c r="D63" s="1" t="str">
        <f t="shared" si="8"/>
        <v/>
      </c>
      <c r="G63" s="1" t="s">
        <v>112</v>
      </c>
      <c r="H63" s="1">
        <v>55.05</v>
      </c>
      <c r="I63" s="1" t="s">
        <v>32</v>
      </c>
      <c r="J63" s="13">
        <f t="shared" si="4"/>
        <v>55.05</v>
      </c>
      <c r="K63" s="1" t="s">
        <v>89</v>
      </c>
    </row>
    <row r="64" spans="1:11">
      <c r="A64" s="1" t="str">
        <f t="shared" si="5"/>
        <v/>
      </c>
      <c r="B64" s="1" t="str">
        <f t="shared" si="6"/>
        <v/>
      </c>
      <c r="C64" s="1" t="str">
        <f t="shared" si="7"/>
        <v/>
      </c>
      <c r="D64" s="1" t="str">
        <f t="shared" si="8"/>
        <v/>
      </c>
      <c r="G64" s="1" t="s">
        <v>334</v>
      </c>
      <c r="H64" s="1">
        <v>154.5</v>
      </c>
      <c r="I64" s="1" t="s">
        <v>32</v>
      </c>
      <c r="J64" s="13">
        <f t="shared" si="4"/>
        <v>154.5</v>
      </c>
      <c r="K64" s="1" t="s">
        <v>98</v>
      </c>
    </row>
    <row r="65" spans="1:11">
      <c r="A65" s="1" t="str">
        <f t="shared" si="5"/>
        <v/>
      </c>
      <c r="B65" s="1" t="str">
        <f t="shared" si="6"/>
        <v/>
      </c>
      <c r="C65" s="1" t="str">
        <f t="shared" si="7"/>
        <v/>
      </c>
      <c r="D65" s="1" t="str">
        <f t="shared" si="8"/>
        <v/>
      </c>
      <c r="G65" s="1" t="s">
        <v>87</v>
      </c>
      <c r="H65" s="1">
        <v>245.57</v>
      </c>
      <c r="I65" s="1" t="s">
        <v>32</v>
      </c>
      <c r="J65" s="13">
        <f t="shared" si="4"/>
        <v>245.57</v>
      </c>
      <c r="K65" s="1" t="s">
        <v>24</v>
      </c>
    </row>
    <row r="66" spans="1:11">
      <c r="A66" s="1" t="str">
        <f t="shared" si="5"/>
        <v/>
      </c>
      <c r="B66" s="1" t="str">
        <f t="shared" si="6"/>
        <v/>
      </c>
      <c r="C66" s="1" t="str">
        <f t="shared" si="7"/>
        <v/>
      </c>
      <c r="D66" s="1" t="str">
        <f t="shared" si="8"/>
        <v/>
      </c>
      <c r="G66" s="1" t="s">
        <v>111</v>
      </c>
      <c r="H66" s="1">
        <v>19.05</v>
      </c>
      <c r="I66" s="1" t="s">
        <v>32</v>
      </c>
      <c r="J66" s="13">
        <f t="shared" si="4"/>
        <v>19.05</v>
      </c>
      <c r="K66" s="1" t="s">
        <v>24</v>
      </c>
    </row>
    <row r="67" spans="1:11">
      <c r="A67" s="1" t="str">
        <f t="shared" si="5"/>
        <v/>
      </c>
      <c r="B67" s="1" t="str">
        <f t="shared" si="6"/>
        <v/>
      </c>
      <c r="C67" s="1" t="str">
        <f t="shared" si="7"/>
        <v/>
      </c>
      <c r="D67" s="1" t="str">
        <f t="shared" si="8"/>
        <v/>
      </c>
      <c r="G67" s="1" t="s">
        <v>84</v>
      </c>
      <c r="H67" s="1">
        <v>106.64</v>
      </c>
      <c r="I67" s="1" t="s">
        <v>32</v>
      </c>
      <c r="J67" s="13">
        <f t="shared" si="4"/>
        <v>106.64</v>
      </c>
      <c r="K67" s="1" t="s">
        <v>198</v>
      </c>
    </row>
    <row r="68" spans="1:11">
      <c r="A68" s="1" t="str">
        <f t="shared" si="5"/>
        <v/>
      </c>
      <c r="B68" s="1" t="str">
        <f t="shared" si="6"/>
        <v/>
      </c>
      <c r="C68" s="1" t="str">
        <f t="shared" si="7"/>
        <v/>
      </c>
      <c r="D68" s="1" t="str">
        <f t="shared" si="8"/>
        <v/>
      </c>
      <c r="G68" s="1" t="s">
        <v>126</v>
      </c>
      <c r="H68" s="1">
        <v>9</v>
      </c>
      <c r="I68" s="1" t="s">
        <v>32</v>
      </c>
      <c r="J68" s="13">
        <f t="shared" si="4"/>
        <v>9</v>
      </c>
      <c r="K68" s="1" t="s">
        <v>55</v>
      </c>
    </row>
    <row r="69" spans="1:11">
      <c r="A69" s="1" t="str">
        <f t="shared" si="5"/>
        <v/>
      </c>
      <c r="B69" s="1" t="str">
        <f t="shared" si="6"/>
        <v/>
      </c>
      <c r="C69" s="1" t="str">
        <f t="shared" si="7"/>
        <v/>
      </c>
      <c r="D69" s="1" t="str">
        <f t="shared" si="8"/>
        <v/>
      </c>
      <c r="G69" s="1" t="s">
        <v>337</v>
      </c>
      <c r="H69" s="1">
        <v>28.99</v>
      </c>
      <c r="I69" s="1" t="s">
        <v>32</v>
      </c>
      <c r="J69" s="13">
        <f t="shared" si="4"/>
        <v>28.99</v>
      </c>
      <c r="K69" s="1" t="s">
        <v>24</v>
      </c>
    </row>
    <row r="70" spans="1:11">
      <c r="A70" s="1" t="str">
        <f t="shared" si="5"/>
        <v/>
      </c>
      <c r="B70" s="1" t="str">
        <f t="shared" si="6"/>
        <v/>
      </c>
      <c r="C70" s="1" t="str">
        <f t="shared" si="7"/>
        <v/>
      </c>
      <c r="D70" s="1" t="str">
        <f t="shared" si="8"/>
        <v/>
      </c>
      <c r="G70" s="1" t="s">
        <v>112</v>
      </c>
      <c r="H70" s="1">
        <v>12.3</v>
      </c>
      <c r="I70" s="1" t="s">
        <v>32</v>
      </c>
      <c r="J70" s="13">
        <f t="shared" si="4"/>
        <v>12.3</v>
      </c>
      <c r="K70" s="1" t="s">
        <v>89</v>
      </c>
    </row>
    <row r="71" spans="1:11">
      <c r="A71" s="1" t="str">
        <f t="shared" si="5"/>
        <v/>
      </c>
      <c r="B71" s="1" t="str">
        <f t="shared" si="6"/>
        <v/>
      </c>
      <c r="C71" s="1" t="str">
        <f t="shared" si="7"/>
        <v/>
      </c>
      <c r="D71" s="1" t="str">
        <f t="shared" si="8"/>
        <v/>
      </c>
      <c r="G71" s="1" t="s">
        <v>126</v>
      </c>
      <c r="H71" s="1">
        <v>9</v>
      </c>
      <c r="I71" s="1" t="s">
        <v>32</v>
      </c>
      <c r="J71" s="13">
        <f t="shared" si="4"/>
        <v>9</v>
      </c>
      <c r="K71" s="1" t="s">
        <v>55</v>
      </c>
    </row>
    <row r="72" spans="1:11">
      <c r="A72" s="1" t="str">
        <f t="shared" si="5"/>
        <v/>
      </c>
      <c r="B72" s="1" t="str">
        <f t="shared" si="6"/>
        <v/>
      </c>
      <c r="C72" s="1" t="str">
        <f t="shared" si="7"/>
        <v/>
      </c>
      <c r="D72" s="1" t="str">
        <f t="shared" si="8"/>
        <v/>
      </c>
      <c r="G72" s="1" t="s">
        <v>126</v>
      </c>
      <c r="H72" s="1">
        <v>9</v>
      </c>
      <c r="I72" s="1" t="s">
        <v>32</v>
      </c>
      <c r="J72" s="13">
        <f t="shared" si="4"/>
        <v>9</v>
      </c>
      <c r="K72" s="1" t="s">
        <v>55</v>
      </c>
    </row>
    <row r="73" spans="1:11">
      <c r="A73" s="1" t="str">
        <f t="shared" si="5"/>
        <v/>
      </c>
      <c r="B73" s="1" t="str">
        <f t="shared" si="6"/>
        <v/>
      </c>
      <c r="C73" s="1" t="str">
        <f t="shared" si="7"/>
        <v/>
      </c>
      <c r="D73" s="1" t="str">
        <f t="shared" si="8"/>
        <v/>
      </c>
      <c r="G73" s="1" t="s">
        <v>87</v>
      </c>
      <c r="H73" s="1">
        <v>33.92</v>
      </c>
      <c r="I73" s="1" t="s">
        <v>32</v>
      </c>
      <c r="J73" s="13">
        <f t="shared" si="4"/>
        <v>33.92</v>
      </c>
      <c r="K73" s="1" t="s">
        <v>24</v>
      </c>
    </row>
    <row r="74" spans="1:11">
      <c r="A74" s="1" t="str">
        <f t="shared" si="5"/>
        <v/>
      </c>
      <c r="B74" s="1" t="str">
        <f t="shared" si="6"/>
        <v/>
      </c>
      <c r="C74" s="1" t="str">
        <f t="shared" si="7"/>
        <v/>
      </c>
      <c r="D74" s="1" t="str">
        <f t="shared" si="8"/>
        <v/>
      </c>
      <c r="G74" s="1" t="s">
        <v>339</v>
      </c>
      <c r="H74" s="1">
        <v>85</v>
      </c>
      <c r="I74" s="1" t="s">
        <v>32</v>
      </c>
      <c r="J74" s="13">
        <f t="shared" si="4"/>
        <v>85</v>
      </c>
      <c r="K74" s="1" t="s">
        <v>198</v>
      </c>
    </row>
    <row r="75" spans="1:11">
      <c r="A75" s="1" t="str">
        <f t="shared" si="5"/>
        <v/>
      </c>
      <c r="B75" s="1" t="str">
        <f t="shared" si="6"/>
        <v/>
      </c>
      <c r="C75" s="1" t="str">
        <f t="shared" si="7"/>
        <v/>
      </c>
      <c r="D75" s="1" t="str">
        <f t="shared" si="8"/>
        <v/>
      </c>
      <c r="G75" s="1" t="s">
        <v>314</v>
      </c>
      <c r="H75" s="1">
        <v>187.9</v>
      </c>
      <c r="I75" s="1" t="s">
        <v>32</v>
      </c>
      <c r="J75" s="13">
        <f t="shared" si="4"/>
        <v>187.9</v>
      </c>
      <c r="K75" s="1" t="s">
        <v>59</v>
      </c>
    </row>
    <row r="76" spans="1:11">
      <c r="A76" s="1" t="str">
        <f t="shared" si="5"/>
        <v/>
      </c>
      <c r="B76" s="1" t="str">
        <f t="shared" si="6"/>
        <v/>
      </c>
      <c r="C76" s="1" t="str">
        <f t="shared" si="7"/>
        <v/>
      </c>
      <c r="D76" s="1" t="str">
        <f t="shared" si="8"/>
        <v/>
      </c>
      <c r="G76" s="1" t="s">
        <v>343</v>
      </c>
      <c r="H76" s="1">
        <v>5.77</v>
      </c>
      <c r="I76" s="1" t="s">
        <v>32</v>
      </c>
      <c r="J76" s="13">
        <f t="shared" si="4"/>
        <v>5.77</v>
      </c>
      <c r="K76" s="1" t="s">
        <v>59</v>
      </c>
    </row>
    <row r="77" spans="1:11">
      <c r="A77" s="1" t="str">
        <f t="shared" si="5"/>
        <v/>
      </c>
      <c r="B77" s="1" t="str">
        <f t="shared" si="6"/>
        <v/>
      </c>
      <c r="C77" s="1" t="str">
        <f t="shared" si="7"/>
        <v/>
      </c>
      <c r="D77" s="1" t="str">
        <f t="shared" si="8"/>
        <v/>
      </c>
      <c r="G77" s="1" t="s">
        <v>345</v>
      </c>
      <c r="H77" s="1">
        <v>30.4</v>
      </c>
      <c r="I77" s="1" t="s">
        <v>32</v>
      </c>
      <c r="J77" s="13">
        <f t="shared" si="4"/>
        <v>30.4</v>
      </c>
      <c r="K77" s="1" t="s">
        <v>24</v>
      </c>
    </row>
    <row r="78" spans="1:11">
      <c r="A78" s="1" t="str">
        <f t="shared" si="5"/>
        <v/>
      </c>
      <c r="B78" s="1" t="str">
        <f t="shared" si="6"/>
        <v/>
      </c>
      <c r="C78" s="1" t="str">
        <f t="shared" si="7"/>
        <v/>
      </c>
      <c r="D78" s="1" t="str">
        <f t="shared" si="8"/>
        <v/>
      </c>
      <c r="G78" s="1" t="s">
        <v>112</v>
      </c>
      <c r="H78" s="1">
        <v>9.9</v>
      </c>
      <c r="I78" s="1" t="s">
        <v>32</v>
      </c>
      <c r="J78" s="13">
        <f t="shared" si="4"/>
        <v>9.9</v>
      </c>
      <c r="K78" s="1" t="s">
        <v>89</v>
      </c>
    </row>
    <row r="79" spans="1:11">
      <c r="A79" s="1" t="str">
        <f t="shared" si="5"/>
        <v/>
      </c>
      <c r="B79" s="1" t="str">
        <f t="shared" si="6"/>
        <v/>
      </c>
      <c r="C79" s="1" t="str">
        <f t="shared" si="7"/>
        <v/>
      </c>
      <c r="D79" s="1" t="str">
        <f t="shared" si="8"/>
        <v/>
      </c>
      <c r="G79" s="1" t="s">
        <v>87</v>
      </c>
      <c r="H79" s="1">
        <v>6.33</v>
      </c>
      <c r="I79" s="1" t="s">
        <v>32</v>
      </c>
      <c r="J79" s="13">
        <f t="shared" si="4"/>
        <v>6.33</v>
      </c>
      <c r="K79" s="1" t="s">
        <v>24</v>
      </c>
    </row>
    <row r="80" spans="1:11">
      <c r="A80" s="1" t="str">
        <f t="shared" si="5"/>
        <v/>
      </c>
      <c r="B80" s="1" t="str">
        <f t="shared" si="6"/>
        <v/>
      </c>
      <c r="C80" s="1" t="str">
        <f t="shared" si="7"/>
        <v/>
      </c>
      <c r="D80" s="1" t="str">
        <f t="shared" si="8"/>
        <v/>
      </c>
      <c r="G80" s="1" t="s">
        <v>87</v>
      </c>
      <c r="H80" s="1">
        <v>237.92</v>
      </c>
      <c r="I80" s="1" t="s">
        <v>32</v>
      </c>
      <c r="J80" s="13">
        <f t="shared" si="4"/>
        <v>237.92</v>
      </c>
      <c r="K80" s="1" t="s">
        <v>24</v>
      </c>
    </row>
    <row r="81" spans="1:11">
      <c r="A81" s="1" t="str">
        <f t="shared" si="5"/>
        <v/>
      </c>
      <c r="B81" s="1" t="str">
        <f t="shared" si="6"/>
        <v/>
      </c>
      <c r="C81" s="1" t="str">
        <f t="shared" si="7"/>
        <v/>
      </c>
      <c r="D81" s="1" t="str">
        <f t="shared" si="8"/>
        <v/>
      </c>
      <c r="G81" s="1" t="s">
        <v>349</v>
      </c>
      <c r="H81" s="1">
        <v>90</v>
      </c>
      <c r="I81" s="1" t="s">
        <v>32</v>
      </c>
      <c r="J81" s="13">
        <f t="shared" si="4"/>
        <v>90</v>
      </c>
      <c r="K81" s="1" t="s">
        <v>89</v>
      </c>
    </row>
    <row r="82" spans="1:11">
      <c r="A82" s="1" t="str">
        <f t="shared" si="5"/>
        <v/>
      </c>
      <c r="B82" s="1" t="str">
        <f t="shared" si="6"/>
        <v/>
      </c>
      <c r="C82" s="1" t="str">
        <f t="shared" si="7"/>
        <v/>
      </c>
      <c r="D82" s="1" t="str">
        <f t="shared" si="8"/>
        <v/>
      </c>
      <c r="G82" s="1" t="s">
        <v>115</v>
      </c>
      <c r="H82" s="1">
        <v>13</v>
      </c>
      <c r="I82" s="1" t="s">
        <v>32</v>
      </c>
      <c r="J82" s="13">
        <f t="shared" si="4"/>
        <v>13</v>
      </c>
      <c r="K82" s="1" t="s">
        <v>59</v>
      </c>
    </row>
    <row r="83" spans="1:11">
      <c r="A83" s="1" t="str">
        <f t="shared" si="5"/>
        <v/>
      </c>
      <c r="B83" s="1" t="str">
        <f t="shared" si="6"/>
        <v/>
      </c>
      <c r="C83" s="1" t="str">
        <f t="shared" si="7"/>
        <v/>
      </c>
      <c r="D83" s="1" t="str">
        <f t="shared" si="8"/>
        <v/>
      </c>
      <c r="G83" s="1" t="s">
        <v>87</v>
      </c>
      <c r="H83" s="1">
        <v>26.55</v>
      </c>
      <c r="I83" s="1" t="s">
        <v>32</v>
      </c>
      <c r="J83" s="13">
        <f t="shared" si="4"/>
        <v>26.55</v>
      </c>
      <c r="K83" s="1" t="s">
        <v>24</v>
      </c>
    </row>
    <row r="84" spans="1:11">
      <c r="A84" s="1" t="str">
        <f t="shared" si="5"/>
        <v/>
      </c>
      <c r="B84" s="1" t="str">
        <f t="shared" si="6"/>
        <v/>
      </c>
      <c r="C84" s="1" t="str">
        <f t="shared" si="7"/>
        <v/>
      </c>
      <c r="D84" s="1" t="str">
        <f t="shared" si="8"/>
        <v/>
      </c>
      <c r="G84" s="1" t="s">
        <v>232</v>
      </c>
      <c r="H84" s="1">
        <v>20.399999999999999</v>
      </c>
      <c r="I84" s="1" t="s">
        <v>32</v>
      </c>
      <c r="J84" s="13">
        <f t="shared" si="4"/>
        <v>20.399999999999999</v>
      </c>
      <c r="K84" s="1" t="s">
        <v>59</v>
      </c>
    </row>
    <row r="85" spans="1:11">
      <c r="A85" s="1" t="str">
        <f t="shared" si="5"/>
        <v/>
      </c>
      <c r="B85" s="1" t="str">
        <f t="shared" si="6"/>
        <v/>
      </c>
      <c r="C85" s="1" t="str">
        <f t="shared" si="7"/>
        <v/>
      </c>
      <c r="D85" s="1" t="str">
        <f t="shared" si="8"/>
        <v/>
      </c>
      <c r="G85" s="1" t="s">
        <v>353</v>
      </c>
      <c r="H85" s="1">
        <v>3.29</v>
      </c>
      <c r="I85" s="1" t="s">
        <v>32</v>
      </c>
      <c r="J85" s="13">
        <f t="shared" si="4"/>
        <v>3.29</v>
      </c>
      <c r="K85" s="1" t="s">
        <v>24</v>
      </c>
    </row>
    <row r="86" spans="1:11">
      <c r="A86" s="1" t="str">
        <f t="shared" si="5"/>
        <v/>
      </c>
      <c r="B86" s="1" t="str">
        <f t="shared" si="6"/>
        <v/>
      </c>
      <c r="C86" s="1" t="str">
        <f t="shared" si="7"/>
        <v/>
      </c>
      <c r="D86" s="1" t="str">
        <f t="shared" si="8"/>
        <v/>
      </c>
      <c r="G86" s="14" t="s">
        <v>284</v>
      </c>
      <c r="H86" s="1">
        <v>25</v>
      </c>
      <c r="I86" s="1" t="s">
        <v>32</v>
      </c>
      <c r="J86" s="13">
        <f t="shared" si="4"/>
        <v>25</v>
      </c>
      <c r="K86" s="1" t="s">
        <v>59</v>
      </c>
    </row>
    <row r="87" spans="1:11">
      <c r="A87" s="1" t="str">
        <f t="shared" si="5"/>
        <v/>
      </c>
      <c r="B87" s="1" t="str">
        <f t="shared" si="6"/>
        <v/>
      </c>
      <c r="C87" s="1" t="str">
        <f t="shared" si="7"/>
        <v/>
      </c>
      <c r="D87" s="1" t="str">
        <f t="shared" si="8"/>
        <v/>
      </c>
      <c r="G87" s="1" t="s">
        <v>87</v>
      </c>
      <c r="H87" s="1">
        <v>43.39</v>
      </c>
      <c r="I87" s="1" t="s">
        <v>32</v>
      </c>
      <c r="J87" s="13">
        <f t="shared" si="4"/>
        <v>43.39</v>
      </c>
      <c r="K87" s="1" t="s">
        <v>24</v>
      </c>
    </row>
    <row r="88" spans="1:11">
      <c r="A88" s="1" t="str">
        <f t="shared" si="5"/>
        <v/>
      </c>
      <c r="B88" s="1" t="str">
        <f t="shared" si="6"/>
        <v/>
      </c>
      <c r="C88" s="1" t="str">
        <f t="shared" si="7"/>
        <v/>
      </c>
      <c r="D88" s="1" t="str">
        <f t="shared" si="8"/>
        <v/>
      </c>
      <c r="G88" s="1" t="s">
        <v>355</v>
      </c>
      <c r="H88" s="1">
        <v>79.8</v>
      </c>
      <c r="I88" s="1" t="s">
        <v>32</v>
      </c>
      <c r="J88" s="13">
        <f t="shared" si="4"/>
        <v>79.8</v>
      </c>
      <c r="K88" s="1" t="s">
        <v>59</v>
      </c>
    </row>
    <row r="89" spans="1:11">
      <c r="A89" s="1" t="str">
        <f t="shared" si="5"/>
        <v/>
      </c>
      <c r="B89" s="1" t="str">
        <f t="shared" si="6"/>
        <v/>
      </c>
      <c r="C89" s="1" t="str">
        <f t="shared" si="7"/>
        <v/>
      </c>
      <c r="D89" s="1" t="str">
        <f t="shared" si="8"/>
        <v/>
      </c>
      <c r="G89" s="1" t="s">
        <v>356</v>
      </c>
      <c r="H89" s="1">
        <v>0.99</v>
      </c>
      <c r="I89" s="1" t="s">
        <v>32</v>
      </c>
      <c r="J89" s="13">
        <f t="shared" si="4"/>
        <v>0.99</v>
      </c>
      <c r="K89" s="1" t="s">
        <v>44</v>
      </c>
    </row>
    <row r="90" spans="1:11">
      <c r="A90" s="1" t="str">
        <f t="shared" si="5"/>
        <v/>
      </c>
      <c r="B90" s="1" t="str">
        <f t="shared" si="6"/>
        <v/>
      </c>
      <c r="C90" s="1" t="str">
        <f t="shared" si="7"/>
        <v/>
      </c>
      <c r="D90" s="1" t="str">
        <f t="shared" si="8"/>
        <v/>
      </c>
      <c r="G90" s="1" t="s">
        <v>357</v>
      </c>
      <c r="H90" s="1">
        <v>26.95</v>
      </c>
      <c r="I90" s="1" t="s">
        <v>32</v>
      </c>
      <c r="J90" s="13">
        <f t="shared" si="4"/>
        <v>26.95</v>
      </c>
      <c r="K90" s="1" t="s">
        <v>26</v>
      </c>
    </row>
    <row r="91" spans="1:11">
      <c r="A91" s="1" t="str">
        <f t="shared" si="5"/>
        <v/>
      </c>
      <c r="B91" s="1" t="str">
        <f t="shared" si="6"/>
        <v/>
      </c>
      <c r="C91" s="1" t="str">
        <f t="shared" si="7"/>
        <v/>
      </c>
      <c r="D91" s="1" t="str">
        <f t="shared" si="8"/>
        <v/>
      </c>
      <c r="G91" s="1" t="s">
        <v>190</v>
      </c>
      <c r="H91" s="1">
        <v>55.55</v>
      </c>
      <c r="I91" s="1" t="s">
        <v>32</v>
      </c>
      <c r="J91" s="13">
        <f t="shared" si="4"/>
        <v>55.55</v>
      </c>
      <c r="K91" s="1" t="s">
        <v>59</v>
      </c>
    </row>
    <row r="92" spans="1:11">
      <c r="A92" s="1" t="str">
        <f t="shared" si="5"/>
        <v/>
      </c>
      <c r="B92" s="1" t="str">
        <f t="shared" si="6"/>
        <v/>
      </c>
      <c r="C92" s="1" t="str">
        <f t="shared" si="7"/>
        <v/>
      </c>
      <c r="D92" s="1" t="str">
        <f t="shared" si="8"/>
        <v/>
      </c>
      <c r="G92" s="1" t="s">
        <v>362</v>
      </c>
      <c r="H92" s="1">
        <v>36.89</v>
      </c>
      <c r="I92" s="1" t="s">
        <v>32</v>
      </c>
      <c r="J92" s="13">
        <f t="shared" si="4"/>
        <v>36.89</v>
      </c>
      <c r="K92" s="1" t="s">
        <v>59</v>
      </c>
    </row>
    <row r="93" spans="1:11">
      <c r="A93" s="1" t="str">
        <f t="shared" si="5"/>
        <v/>
      </c>
      <c r="B93" s="1" t="str">
        <f t="shared" si="6"/>
        <v/>
      </c>
      <c r="C93" s="1" t="str">
        <f t="shared" si="7"/>
        <v/>
      </c>
      <c r="D93" s="1" t="str">
        <f t="shared" si="8"/>
        <v/>
      </c>
      <c r="G93" s="1" t="s">
        <v>87</v>
      </c>
      <c r="H93" s="1">
        <v>206.12</v>
      </c>
      <c r="I93" s="1" t="s">
        <v>32</v>
      </c>
      <c r="J93" s="13">
        <f t="shared" si="4"/>
        <v>206.12</v>
      </c>
      <c r="K93" s="1" t="s">
        <v>24</v>
      </c>
    </row>
    <row r="94" spans="1:11">
      <c r="A94" s="1" t="str">
        <f t="shared" si="5"/>
        <v/>
      </c>
      <c r="B94" s="1" t="str">
        <f t="shared" si="6"/>
        <v/>
      </c>
      <c r="C94" s="1" t="str">
        <f t="shared" si="7"/>
        <v/>
      </c>
      <c r="D94" s="1" t="str">
        <f t="shared" si="8"/>
        <v/>
      </c>
      <c r="G94" s="1" t="s">
        <v>87</v>
      </c>
      <c r="H94" s="1">
        <v>49.44</v>
      </c>
      <c r="I94" s="1" t="s">
        <v>32</v>
      </c>
      <c r="J94" s="13">
        <f t="shared" si="4"/>
        <v>49.44</v>
      </c>
      <c r="K94" s="1" t="s">
        <v>24</v>
      </c>
    </row>
    <row r="95" spans="1:11">
      <c r="A95" s="1" t="str">
        <f t="shared" si="5"/>
        <v/>
      </c>
      <c r="B95" s="1" t="str">
        <f t="shared" si="6"/>
        <v/>
      </c>
      <c r="C95" s="1" t="str">
        <f t="shared" si="7"/>
        <v/>
      </c>
      <c r="D95" s="1" t="str">
        <f t="shared" si="8"/>
        <v/>
      </c>
      <c r="G95" s="1" t="s">
        <v>368</v>
      </c>
      <c r="H95" s="1">
        <v>16.100000000000001</v>
      </c>
      <c r="I95" s="1" t="s">
        <v>32</v>
      </c>
      <c r="J95" s="13">
        <f t="shared" si="4"/>
        <v>16.100000000000001</v>
      </c>
      <c r="K95" s="1" t="s">
        <v>24</v>
      </c>
    </row>
    <row r="96" spans="1:11">
      <c r="A96" s="1" t="str">
        <f t="shared" si="5"/>
        <v/>
      </c>
      <c r="B96" s="1" t="str">
        <f t="shared" si="6"/>
        <v/>
      </c>
      <c r="C96" s="1" t="str">
        <f t="shared" si="7"/>
        <v/>
      </c>
      <c r="D96" s="1" t="str">
        <f t="shared" si="8"/>
        <v/>
      </c>
      <c r="G96" s="1" t="s">
        <v>112</v>
      </c>
      <c r="H96" s="1">
        <v>9.9</v>
      </c>
      <c r="I96" s="1" t="s">
        <v>32</v>
      </c>
      <c r="J96" s="13">
        <f t="shared" si="4"/>
        <v>9.9</v>
      </c>
      <c r="K96" s="1" t="s">
        <v>89</v>
      </c>
    </row>
    <row r="97" spans="1:11">
      <c r="A97" s="1" t="str">
        <f t="shared" si="5"/>
        <v/>
      </c>
      <c r="B97" s="1" t="str">
        <f t="shared" si="6"/>
        <v/>
      </c>
      <c r="C97" s="1" t="str">
        <f t="shared" si="7"/>
        <v/>
      </c>
      <c r="D97" s="1" t="str">
        <f t="shared" si="8"/>
        <v/>
      </c>
      <c r="G97" s="1" t="s">
        <v>87</v>
      </c>
      <c r="H97" s="1">
        <v>65.61</v>
      </c>
      <c r="I97" s="1" t="s">
        <v>32</v>
      </c>
      <c r="J97" s="13">
        <f t="shared" si="4"/>
        <v>65.61</v>
      </c>
      <c r="K97" s="1" t="s">
        <v>24</v>
      </c>
    </row>
    <row r="98" spans="1:11">
      <c r="A98" s="1" t="str">
        <f t="shared" si="5"/>
        <v/>
      </c>
      <c r="B98" s="1" t="str">
        <f t="shared" si="6"/>
        <v/>
      </c>
      <c r="C98" s="1" t="str">
        <f t="shared" si="7"/>
        <v/>
      </c>
      <c r="D98" s="1" t="str">
        <f t="shared" si="8"/>
        <v/>
      </c>
      <c r="G98" s="1" t="s">
        <v>81</v>
      </c>
      <c r="H98" s="1">
        <v>215.73</v>
      </c>
      <c r="I98" s="1" t="s">
        <v>32</v>
      </c>
      <c r="J98" s="13">
        <f t="shared" si="4"/>
        <v>215.73</v>
      </c>
      <c r="K98" s="1" t="s">
        <v>89</v>
      </c>
    </row>
    <row r="99" spans="1:11">
      <c r="A99" s="1" t="str">
        <f t="shared" si="5"/>
        <v/>
      </c>
      <c r="B99" s="1" t="str">
        <f t="shared" si="6"/>
        <v/>
      </c>
      <c r="C99" s="1" t="str">
        <f t="shared" si="7"/>
        <v/>
      </c>
      <c r="D99" s="1" t="str">
        <f t="shared" si="8"/>
        <v/>
      </c>
      <c r="G99" s="1" t="s">
        <v>373</v>
      </c>
      <c r="H99" s="1">
        <v>2.1800000000000002</v>
      </c>
      <c r="I99" s="1" t="s">
        <v>32</v>
      </c>
      <c r="J99" s="13">
        <f t="shared" si="4"/>
        <v>2.1800000000000002</v>
      </c>
      <c r="K99" s="1" t="s">
        <v>59</v>
      </c>
    </row>
    <row r="100" spans="1:11">
      <c r="A100" s="1" t="str">
        <f t="shared" si="5"/>
        <v/>
      </c>
      <c r="B100" s="1" t="str">
        <f t="shared" si="6"/>
        <v/>
      </c>
      <c r="C100" s="1" t="str">
        <f t="shared" si="7"/>
        <v/>
      </c>
      <c r="D100" s="1" t="str">
        <f t="shared" si="8"/>
        <v/>
      </c>
      <c r="G100" s="1" t="s">
        <v>82</v>
      </c>
      <c r="H100" s="1">
        <v>19.329999999999998</v>
      </c>
      <c r="I100" s="1" t="s">
        <v>32</v>
      </c>
      <c r="J100" s="13">
        <f t="shared" si="4"/>
        <v>19.329999999999998</v>
      </c>
      <c r="K100" s="1" t="s">
        <v>83</v>
      </c>
    </row>
    <row r="101" spans="1:11">
      <c r="A101" s="1" t="str">
        <f t="shared" si="5"/>
        <v/>
      </c>
      <c r="B101" s="1" t="str">
        <f t="shared" si="6"/>
        <v/>
      </c>
      <c r="C101" s="1" t="str">
        <f t="shared" si="7"/>
        <v/>
      </c>
      <c r="D101" s="1" t="str">
        <f t="shared" si="8"/>
        <v/>
      </c>
      <c r="G101" s="1" t="s">
        <v>376</v>
      </c>
      <c r="H101" s="1">
        <v>44.94</v>
      </c>
      <c r="I101" s="1" t="s">
        <v>32</v>
      </c>
      <c r="J101" s="13">
        <f t="shared" si="4"/>
        <v>44.94</v>
      </c>
      <c r="K101" s="1" t="s">
        <v>83</v>
      </c>
    </row>
    <row r="102" spans="1:11">
      <c r="A102" s="1" t="str">
        <f t="shared" si="5"/>
        <v/>
      </c>
      <c r="B102" s="1" t="str">
        <f t="shared" si="6"/>
        <v/>
      </c>
      <c r="C102" s="1" t="str">
        <f t="shared" si="7"/>
        <v/>
      </c>
      <c r="D102" s="1" t="str">
        <f t="shared" si="8"/>
        <v/>
      </c>
      <c r="G102" s="1" t="s">
        <v>86</v>
      </c>
      <c r="H102" s="1">
        <v>19.98</v>
      </c>
      <c r="I102" s="1" t="s">
        <v>32</v>
      </c>
      <c r="J102" s="13">
        <f t="shared" si="4"/>
        <v>19.98</v>
      </c>
      <c r="K102" s="1" t="s">
        <v>83</v>
      </c>
    </row>
    <row r="103" spans="1:11">
      <c r="A103" s="1" t="str">
        <f t="shared" si="5"/>
        <v/>
      </c>
      <c r="B103" s="1" t="str">
        <f t="shared" si="6"/>
        <v/>
      </c>
      <c r="C103" s="1" t="str">
        <f t="shared" si="7"/>
        <v/>
      </c>
      <c r="D103" s="1" t="str">
        <f t="shared" si="8"/>
        <v/>
      </c>
      <c r="G103" s="1" t="s">
        <v>86</v>
      </c>
      <c r="H103" s="1">
        <v>23.52</v>
      </c>
      <c r="I103" s="1" t="s">
        <v>32</v>
      </c>
      <c r="J103" s="13">
        <f t="shared" si="4"/>
        <v>23.52</v>
      </c>
      <c r="K103" s="1" t="s">
        <v>83</v>
      </c>
    </row>
    <row r="104" spans="1:11">
      <c r="A104" s="1" t="str">
        <f t="shared" si="5"/>
        <v/>
      </c>
      <c r="B104" s="1" t="str">
        <f t="shared" si="6"/>
        <v/>
      </c>
      <c r="C104" s="1" t="str">
        <f t="shared" si="7"/>
        <v/>
      </c>
      <c r="D104" s="1" t="str">
        <f t="shared" si="8"/>
        <v/>
      </c>
      <c r="G104" s="1" t="s">
        <v>379</v>
      </c>
      <c r="H104" s="1">
        <v>18.5</v>
      </c>
      <c r="I104" s="1" t="s">
        <v>32</v>
      </c>
      <c r="J104" s="13">
        <f t="shared" si="4"/>
        <v>18.5</v>
      </c>
      <c r="K104" s="1" t="s">
        <v>24</v>
      </c>
    </row>
    <row r="105" spans="1:11">
      <c r="A105" s="1" t="str">
        <f t="shared" si="5"/>
        <v/>
      </c>
      <c r="B105" s="1" t="str">
        <f t="shared" si="6"/>
        <v/>
      </c>
      <c r="C105" s="1" t="str">
        <f t="shared" si="7"/>
        <v/>
      </c>
      <c r="D105" s="1" t="str">
        <f t="shared" si="8"/>
        <v/>
      </c>
      <c r="G105" s="1" t="s">
        <v>87</v>
      </c>
      <c r="H105" s="1">
        <v>83.55</v>
      </c>
      <c r="I105" s="1" t="s">
        <v>32</v>
      </c>
      <c r="J105" s="13">
        <f t="shared" si="4"/>
        <v>83.55</v>
      </c>
      <c r="K105" s="1" t="s">
        <v>24</v>
      </c>
    </row>
    <row r="106" spans="1:11">
      <c r="A106" s="1" t="str">
        <f t="shared" si="5"/>
        <v/>
      </c>
      <c r="B106" s="1" t="str">
        <f t="shared" si="6"/>
        <v/>
      </c>
      <c r="C106" s="1" t="str">
        <f t="shared" si="7"/>
        <v/>
      </c>
      <c r="D106" s="1" t="str">
        <f t="shared" si="8"/>
        <v/>
      </c>
      <c r="G106" s="1" t="s">
        <v>284</v>
      </c>
      <c r="H106" s="1">
        <v>25</v>
      </c>
      <c r="I106" s="1" t="s">
        <v>32</v>
      </c>
      <c r="J106" s="13">
        <f t="shared" si="4"/>
        <v>25</v>
      </c>
      <c r="K106" s="1" t="s">
        <v>59</v>
      </c>
    </row>
    <row r="107" spans="1:11">
      <c r="A107" s="1" t="str">
        <f t="shared" si="5"/>
        <v/>
      </c>
      <c r="B107" s="1" t="str">
        <f t="shared" si="6"/>
        <v/>
      </c>
      <c r="C107" s="1" t="str">
        <f t="shared" si="7"/>
        <v/>
      </c>
      <c r="D107" s="1" t="str">
        <f t="shared" si="8"/>
        <v/>
      </c>
      <c r="G107" s="1" t="s">
        <v>380</v>
      </c>
      <c r="H107" s="1">
        <v>21</v>
      </c>
      <c r="I107" s="1" t="s">
        <v>32</v>
      </c>
      <c r="J107" s="13">
        <f t="shared" si="4"/>
        <v>21</v>
      </c>
      <c r="K107" s="1" t="s">
        <v>59</v>
      </c>
    </row>
    <row r="108" spans="1:11">
      <c r="A108" s="1" t="str">
        <f t="shared" si="5"/>
        <v/>
      </c>
      <c r="B108" s="1" t="str">
        <f t="shared" si="6"/>
        <v/>
      </c>
      <c r="C108" s="1" t="str">
        <f t="shared" si="7"/>
        <v/>
      </c>
      <c r="D108" s="1" t="str">
        <f t="shared" si="8"/>
        <v/>
      </c>
      <c r="G108" s="1" t="s">
        <v>381</v>
      </c>
      <c r="H108" s="1">
        <v>21.15</v>
      </c>
      <c r="I108" s="1" t="s">
        <v>32</v>
      </c>
      <c r="J108" s="13">
        <f t="shared" si="4"/>
        <v>21.15</v>
      </c>
      <c r="K108" s="1" t="s">
        <v>98</v>
      </c>
    </row>
    <row r="109" spans="1:11">
      <c r="A109" s="1" t="str">
        <f t="shared" si="5"/>
        <v/>
      </c>
      <c r="B109" s="1" t="str">
        <f t="shared" si="6"/>
        <v/>
      </c>
      <c r="C109" s="1" t="str">
        <f t="shared" si="7"/>
        <v/>
      </c>
      <c r="D109" s="1" t="str">
        <f t="shared" si="8"/>
        <v/>
      </c>
      <c r="G109" s="1" t="s">
        <v>115</v>
      </c>
      <c r="H109" s="1">
        <v>13</v>
      </c>
      <c r="I109" s="1" t="s">
        <v>32</v>
      </c>
      <c r="J109" s="13">
        <f t="shared" si="4"/>
        <v>13</v>
      </c>
      <c r="K109" s="1" t="s">
        <v>59</v>
      </c>
    </row>
    <row r="110" spans="1:11">
      <c r="A110" s="1" t="str">
        <f t="shared" si="5"/>
        <v/>
      </c>
      <c r="B110" s="1" t="str">
        <f t="shared" si="6"/>
        <v/>
      </c>
      <c r="C110" s="1" t="str">
        <f t="shared" si="7"/>
        <v/>
      </c>
      <c r="D110" s="1" t="str">
        <f t="shared" si="8"/>
        <v/>
      </c>
      <c r="G110" s="1" t="s">
        <v>382</v>
      </c>
      <c r="H110" s="1">
        <v>33.25</v>
      </c>
      <c r="I110" s="1" t="s">
        <v>32</v>
      </c>
      <c r="J110" s="13">
        <f t="shared" si="4"/>
        <v>33.25</v>
      </c>
      <c r="K110" s="1" t="s">
        <v>24</v>
      </c>
    </row>
    <row r="111" spans="1:11">
      <c r="A111" s="1" t="str">
        <f t="shared" si="5"/>
        <v/>
      </c>
      <c r="B111" s="1" t="str">
        <f t="shared" si="6"/>
        <v/>
      </c>
      <c r="C111" s="1" t="str">
        <f t="shared" si="7"/>
        <v/>
      </c>
      <c r="D111" s="1" t="str">
        <f t="shared" si="8"/>
        <v/>
      </c>
      <c r="G111" s="1" t="s">
        <v>384</v>
      </c>
      <c r="H111" s="1">
        <v>27.5</v>
      </c>
      <c r="I111" s="1" t="s">
        <v>32</v>
      </c>
      <c r="J111" s="13">
        <f t="shared" si="4"/>
        <v>27.5</v>
      </c>
      <c r="K111" s="1" t="s">
        <v>98</v>
      </c>
    </row>
    <row r="112" spans="1:11">
      <c r="A112" s="1" t="str">
        <f t="shared" si="5"/>
        <v/>
      </c>
      <c r="B112" s="1" t="str">
        <f t="shared" si="6"/>
        <v/>
      </c>
      <c r="C112" s="1" t="str">
        <f t="shared" si="7"/>
        <v/>
      </c>
      <c r="D112" s="1" t="str">
        <f t="shared" si="8"/>
        <v/>
      </c>
      <c r="G112" s="1" t="s">
        <v>385</v>
      </c>
      <c r="H112" s="1">
        <v>119</v>
      </c>
      <c r="I112" s="1" t="s">
        <v>32</v>
      </c>
      <c r="J112" s="13">
        <f t="shared" si="4"/>
        <v>119</v>
      </c>
      <c r="K112" s="1" t="s">
        <v>83</v>
      </c>
    </row>
    <row r="113" spans="1:11">
      <c r="A113" s="1" t="str">
        <f t="shared" si="5"/>
        <v/>
      </c>
      <c r="B113" s="1" t="str">
        <f t="shared" si="6"/>
        <v/>
      </c>
      <c r="C113" s="1" t="str">
        <f t="shared" si="7"/>
        <v/>
      </c>
      <c r="D113" s="1" t="str">
        <f t="shared" si="8"/>
        <v/>
      </c>
      <c r="G113" s="1" t="s">
        <v>386</v>
      </c>
      <c r="H113" s="1">
        <v>1.7</v>
      </c>
      <c r="I113" s="1" t="s">
        <v>32</v>
      </c>
      <c r="J113" s="13">
        <f t="shared" si="4"/>
        <v>1.7</v>
      </c>
      <c r="K113" s="1" t="s">
        <v>55</v>
      </c>
    </row>
    <row r="114" spans="1:11">
      <c r="A114" s="1" t="str">
        <f t="shared" si="5"/>
        <v/>
      </c>
      <c r="B114" s="1" t="str">
        <f t="shared" si="6"/>
        <v/>
      </c>
      <c r="C114" s="1" t="str">
        <f t="shared" si="7"/>
        <v/>
      </c>
      <c r="D114" s="1" t="str">
        <f t="shared" si="8"/>
        <v/>
      </c>
      <c r="G114" s="1" t="s">
        <v>384</v>
      </c>
      <c r="H114" s="1">
        <v>34</v>
      </c>
      <c r="I114" s="1" t="s">
        <v>32</v>
      </c>
      <c r="J114" s="13">
        <f t="shared" si="4"/>
        <v>34</v>
      </c>
      <c r="K114" s="1" t="s">
        <v>98</v>
      </c>
    </row>
    <row r="115" spans="1:11">
      <c r="A115" s="1" t="str">
        <f t="shared" si="5"/>
        <v/>
      </c>
      <c r="B115" s="1" t="str">
        <f t="shared" si="6"/>
        <v/>
      </c>
      <c r="C115" s="1" t="str">
        <f t="shared" si="7"/>
        <v/>
      </c>
      <c r="D115" s="1" t="str">
        <f t="shared" si="8"/>
        <v/>
      </c>
      <c r="G115" s="1" t="s">
        <v>87</v>
      </c>
      <c r="H115" s="1">
        <v>3.9</v>
      </c>
      <c r="I115" s="1" t="s">
        <v>32</v>
      </c>
      <c r="J115" s="13">
        <f t="shared" si="4"/>
        <v>3.9</v>
      </c>
      <c r="K115" s="1" t="s">
        <v>24</v>
      </c>
    </row>
    <row r="116" spans="1:11">
      <c r="A116" s="1" t="str">
        <f t="shared" si="5"/>
        <v/>
      </c>
      <c r="B116" s="1" t="str">
        <f t="shared" si="6"/>
        <v/>
      </c>
      <c r="C116" s="1" t="str">
        <f t="shared" si="7"/>
        <v/>
      </c>
      <c r="D116" s="1" t="str">
        <f t="shared" si="8"/>
        <v/>
      </c>
      <c r="G116" s="1" t="s">
        <v>353</v>
      </c>
      <c r="H116" s="1">
        <v>6.81</v>
      </c>
      <c r="I116" s="1" t="s">
        <v>32</v>
      </c>
      <c r="J116" s="13">
        <f t="shared" si="4"/>
        <v>6.81</v>
      </c>
      <c r="K116" s="1" t="s">
        <v>24</v>
      </c>
    </row>
    <row r="117" spans="1:11">
      <c r="A117" s="1" t="str">
        <f t="shared" si="5"/>
        <v/>
      </c>
      <c r="B117" s="1" t="str">
        <f t="shared" si="6"/>
        <v/>
      </c>
      <c r="C117" s="1" t="str">
        <f t="shared" si="7"/>
        <v/>
      </c>
      <c r="D117" s="1" t="str">
        <f t="shared" si="8"/>
        <v/>
      </c>
      <c r="G117" s="1" t="s">
        <v>389</v>
      </c>
      <c r="H117" s="1">
        <v>1</v>
      </c>
      <c r="I117" s="1" t="s">
        <v>32</v>
      </c>
      <c r="J117" s="13">
        <f t="shared" si="4"/>
        <v>1</v>
      </c>
      <c r="K117" s="1" t="s">
        <v>98</v>
      </c>
    </row>
    <row r="118" spans="1:11">
      <c r="A118" s="1" t="str">
        <f t="shared" si="5"/>
        <v/>
      </c>
      <c r="B118" s="1" t="str">
        <f t="shared" si="6"/>
        <v/>
      </c>
      <c r="C118" s="1" t="str">
        <f t="shared" si="7"/>
        <v/>
      </c>
      <c r="D118" s="1" t="str">
        <f t="shared" si="8"/>
        <v/>
      </c>
      <c r="G118" s="1" t="s">
        <v>389</v>
      </c>
      <c r="H118" s="1">
        <v>4</v>
      </c>
      <c r="I118" s="1" t="s">
        <v>32</v>
      </c>
      <c r="J118" s="13">
        <f t="shared" si="4"/>
        <v>4</v>
      </c>
      <c r="K118" s="1" t="s">
        <v>98</v>
      </c>
    </row>
    <row r="119" spans="1:11">
      <c r="A119" s="1" t="str">
        <f t="shared" si="5"/>
        <v/>
      </c>
      <c r="B119" s="1" t="str">
        <f t="shared" si="6"/>
        <v/>
      </c>
      <c r="C119" s="1" t="str">
        <f t="shared" si="7"/>
        <v/>
      </c>
      <c r="D119" s="1" t="str">
        <f t="shared" si="8"/>
        <v/>
      </c>
      <c r="G119" s="1" t="s">
        <v>334</v>
      </c>
      <c r="H119" s="1">
        <v>5</v>
      </c>
      <c r="I119" s="1" t="s">
        <v>32</v>
      </c>
      <c r="J119" s="13">
        <f t="shared" si="4"/>
        <v>5</v>
      </c>
      <c r="K119" s="1" t="s">
        <v>98</v>
      </c>
    </row>
    <row r="120" spans="1:11">
      <c r="A120" s="1" t="str">
        <f t="shared" si="5"/>
        <v/>
      </c>
      <c r="B120" s="1" t="str">
        <f t="shared" si="6"/>
        <v/>
      </c>
      <c r="C120" s="1" t="str">
        <f t="shared" si="7"/>
        <v/>
      </c>
      <c r="D120" s="1" t="str">
        <f t="shared" si="8"/>
        <v/>
      </c>
      <c r="G120" s="1" t="s">
        <v>391</v>
      </c>
      <c r="H120" s="1">
        <v>5.4</v>
      </c>
      <c r="I120" s="1" t="s">
        <v>32</v>
      </c>
      <c r="J120" s="13">
        <f t="shared" si="4"/>
        <v>5.4</v>
      </c>
      <c r="K120" s="1" t="s">
        <v>24</v>
      </c>
    </row>
    <row r="121" spans="1:11">
      <c r="A121" s="1" t="str">
        <f t="shared" si="5"/>
        <v/>
      </c>
      <c r="B121" s="1" t="str">
        <f t="shared" si="6"/>
        <v/>
      </c>
      <c r="C121" s="1" t="str">
        <f t="shared" si="7"/>
        <v/>
      </c>
      <c r="D121" s="1" t="str">
        <f t="shared" si="8"/>
        <v/>
      </c>
      <c r="G121" s="1" t="s">
        <v>115</v>
      </c>
      <c r="H121" s="1">
        <v>13</v>
      </c>
      <c r="I121" s="1" t="s">
        <v>32</v>
      </c>
      <c r="J121" s="13">
        <f t="shared" si="4"/>
        <v>13</v>
      </c>
      <c r="K121" s="1" t="s">
        <v>59</v>
      </c>
    </row>
    <row r="122" spans="1:11">
      <c r="A122" s="1" t="str">
        <f t="shared" si="5"/>
        <v/>
      </c>
      <c r="B122" s="1" t="str">
        <f t="shared" si="6"/>
        <v/>
      </c>
      <c r="C122" s="1" t="str">
        <f t="shared" si="7"/>
        <v/>
      </c>
      <c r="D122" s="1" t="str">
        <f t="shared" si="8"/>
        <v/>
      </c>
      <c r="G122" s="1" t="s">
        <v>334</v>
      </c>
      <c r="H122" s="1">
        <v>51</v>
      </c>
      <c r="I122" s="1" t="s">
        <v>32</v>
      </c>
      <c r="J122" s="13">
        <f t="shared" si="4"/>
        <v>51</v>
      </c>
      <c r="K122" s="1" t="s">
        <v>98</v>
      </c>
    </row>
    <row r="123" spans="1:11">
      <c r="A123" s="1" t="str">
        <f t="shared" si="5"/>
        <v/>
      </c>
      <c r="B123" s="1" t="str">
        <f t="shared" si="6"/>
        <v/>
      </c>
      <c r="C123" s="1" t="str">
        <f t="shared" si="7"/>
        <v/>
      </c>
      <c r="D123" s="1" t="str">
        <f t="shared" si="8"/>
        <v/>
      </c>
      <c r="G123" s="1" t="s">
        <v>87</v>
      </c>
      <c r="H123" s="1">
        <v>27.43</v>
      </c>
      <c r="I123" s="1" t="s">
        <v>32</v>
      </c>
      <c r="J123" s="13">
        <f t="shared" si="4"/>
        <v>27.43</v>
      </c>
      <c r="K123" s="1" t="s">
        <v>52</v>
      </c>
    </row>
    <row r="124" spans="1:11">
      <c r="A124" s="1" t="str">
        <f t="shared" si="5"/>
        <v/>
      </c>
      <c r="B124" s="1" t="str">
        <f t="shared" si="6"/>
        <v/>
      </c>
      <c r="C124" s="1" t="str">
        <f t="shared" si="7"/>
        <v/>
      </c>
      <c r="D124" s="1" t="str">
        <f t="shared" si="8"/>
        <v/>
      </c>
      <c r="G124" s="1" t="s">
        <v>392</v>
      </c>
      <c r="H124" s="1">
        <v>24.99</v>
      </c>
      <c r="I124" s="1" t="s">
        <v>32</v>
      </c>
      <c r="J124" s="13">
        <f t="shared" si="4"/>
        <v>24.99</v>
      </c>
      <c r="K124" s="1" t="s">
        <v>29</v>
      </c>
    </row>
    <row r="125" spans="1:11">
      <c r="A125" s="1" t="str">
        <f t="shared" si="5"/>
        <v/>
      </c>
      <c r="B125" s="1" t="str">
        <f t="shared" si="6"/>
        <v/>
      </c>
      <c r="C125" s="1" t="str">
        <f t="shared" si="7"/>
        <v/>
      </c>
      <c r="D125" s="1" t="str">
        <f t="shared" si="8"/>
        <v/>
      </c>
      <c r="G125" s="1" t="s">
        <v>81</v>
      </c>
      <c r="H125" s="1">
        <v>25.63</v>
      </c>
      <c r="I125" s="1" t="s">
        <v>32</v>
      </c>
      <c r="J125" s="13">
        <f t="shared" si="4"/>
        <v>25.63</v>
      </c>
      <c r="K125" s="1" t="s">
        <v>89</v>
      </c>
    </row>
    <row r="126" spans="1:11">
      <c r="A126" s="1" t="str">
        <f t="shared" si="5"/>
        <v/>
      </c>
      <c r="B126" s="1" t="str">
        <f t="shared" si="6"/>
        <v/>
      </c>
      <c r="C126" s="1" t="str">
        <f t="shared" si="7"/>
        <v/>
      </c>
      <c r="D126" s="1" t="str">
        <f t="shared" si="8"/>
        <v/>
      </c>
      <c r="G126" s="1" t="s">
        <v>395</v>
      </c>
      <c r="H126" s="1">
        <v>47.84</v>
      </c>
      <c r="I126" s="1" t="s">
        <v>32</v>
      </c>
      <c r="J126" s="13">
        <f t="shared" si="4"/>
        <v>47.84</v>
      </c>
      <c r="K126" s="1" t="s">
        <v>24</v>
      </c>
    </row>
    <row r="127" spans="1:11">
      <c r="A127" s="1" t="str">
        <f t="shared" si="5"/>
        <v/>
      </c>
      <c r="B127" s="1" t="str">
        <f t="shared" si="6"/>
        <v/>
      </c>
      <c r="C127" s="1" t="str">
        <f t="shared" si="7"/>
        <v/>
      </c>
      <c r="D127" s="1" t="str">
        <f t="shared" si="8"/>
        <v/>
      </c>
      <c r="G127" s="1" t="s">
        <v>87</v>
      </c>
      <c r="H127" s="1">
        <v>121.88</v>
      </c>
      <c r="I127" s="1" t="s">
        <v>32</v>
      </c>
      <c r="J127" s="13">
        <f t="shared" si="4"/>
        <v>121.88</v>
      </c>
      <c r="K127" s="1" t="s">
        <v>24</v>
      </c>
    </row>
    <row r="128" spans="1:11">
      <c r="A128" s="1" t="str">
        <f t="shared" si="5"/>
        <v/>
      </c>
      <c r="B128" s="1" t="str">
        <f t="shared" si="6"/>
        <v/>
      </c>
      <c r="C128" s="1" t="str">
        <f t="shared" si="7"/>
        <v/>
      </c>
      <c r="D128" s="1" t="str">
        <f t="shared" si="8"/>
        <v/>
      </c>
      <c r="G128" s="1" t="s">
        <v>94</v>
      </c>
      <c r="H128" s="1">
        <v>53.43</v>
      </c>
      <c r="I128" s="1" t="s">
        <v>32</v>
      </c>
      <c r="J128" s="13">
        <f t="shared" si="4"/>
        <v>53.43</v>
      </c>
      <c r="K128" s="1" t="s">
        <v>98</v>
      </c>
    </row>
    <row r="129" spans="1:11">
      <c r="A129" s="1" t="str">
        <f t="shared" si="5"/>
        <v/>
      </c>
      <c r="B129" s="1" t="str">
        <f t="shared" si="6"/>
        <v/>
      </c>
      <c r="C129" s="1" t="str">
        <f t="shared" si="7"/>
        <v/>
      </c>
      <c r="D129" s="1" t="str">
        <f t="shared" si="8"/>
        <v/>
      </c>
      <c r="G129" s="1" t="s">
        <v>87</v>
      </c>
      <c r="H129" s="1">
        <v>25.5</v>
      </c>
      <c r="I129" s="1" t="s">
        <v>32</v>
      </c>
      <c r="J129" s="13">
        <f t="shared" si="4"/>
        <v>25.5</v>
      </c>
      <c r="K129" s="1" t="s">
        <v>24</v>
      </c>
    </row>
    <row r="130" spans="1:11">
      <c r="A130" s="1" t="str">
        <f t="shared" si="5"/>
        <v>Reste prévu</v>
      </c>
      <c r="B130" s="1" t="e">
        <f t="shared" si="6"/>
        <v>#REF!</v>
      </c>
      <c r="C130" s="1" t="str">
        <f t="shared" si="7"/>
        <v>Reste réel</v>
      </c>
      <c r="D130" s="1" t="e">
        <f t="shared" si="8"/>
        <v>#REF!</v>
      </c>
      <c r="J130" s="13">
        <f t="shared" si="4"/>
        <v>0</v>
      </c>
      <c r="K130" s="1" t="s">
        <v>29</v>
      </c>
    </row>
    <row r="131" spans="1:11">
      <c r="A131" s="1" t="str">
        <f t="shared" si="5"/>
        <v/>
      </c>
      <c r="B131" s="1" t="str">
        <f t="shared" si="6"/>
        <v/>
      </c>
      <c r="C131" s="1" t="str">
        <f t="shared" si="7"/>
        <v/>
      </c>
      <c r="D131" s="1" t="str">
        <f t="shared" si="8"/>
        <v/>
      </c>
      <c r="J131" s="13">
        <f t="shared" si="4"/>
        <v>0</v>
      </c>
      <c r="K131" s="1" t="s">
        <v>24</v>
      </c>
    </row>
    <row r="132" spans="1:11">
      <c r="A132" s="1" t="str">
        <f t="shared" si="5"/>
        <v/>
      </c>
      <c r="B132" s="1" t="str">
        <f t="shared" si="6"/>
        <v/>
      </c>
      <c r="C132" s="1" t="str">
        <f t="shared" si="7"/>
        <v/>
      </c>
      <c r="D132" s="1" t="str">
        <f t="shared" si="8"/>
        <v/>
      </c>
      <c r="J132" s="13">
        <f t="shared" si="4"/>
        <v>0</v>
      </c>
      <c r="K132" s="1" t="s">
        <v>24</v>
      </c>
    </row>
    <row r="133" spans="1:11">
      <c r="A133" s="1" t="str">
        <f t="shared" si="5"/>
        <v/>
      </c>
      <c r="B133" s="1" t="str">
        <f t="shared" si="6"/>
        <v/>
      </c>
      <c r="C133" s="1" t="str">
        <f t="shared" si="7"/>
        <v/>
      </c>
      <c r="D133" s="1" t="str">
        <f t="shared" si="8"/>
        <v/>
      </c>
      <c r="J133" s="13">
        <f t="shared" si="4"/>
        <v>0</v>
      </c>
      <c r="K133" s="1" t="s">
        <v>59</v>
      </c>
    </row>
    <row r="134" spans="1:11">
      <c r="A134" s="1" t="str">
        <f t="shared" si="5"/>
        <v/>
      </c>
      <c r="B134" s="1" t="str">
        <f t="shared" si="6"/>
        <v/>
      </c>
      <c r="C134" s="1" t="str">
        <f t="shared" si="7"/>
        <v/>
      </c>
      <c r="D134" s="1" t="str">
        <f t="shared" si="8"/>
        <v/>
      </c>
      <c r="J134" s="13">
        <f t="shared" si="4"/>
        <v>0</v>
      </c>
      <c r="K134" s="1" t="s">
        <v>29</v>
      </c>
    </row>
    <row r="135" spans="1:11">
      <c r="A135" s="1" t="str">
        <f t="shared" si="5"/>
        <v/>
      </c>
      <c r="B135" s="1" t="str">
        <f t="shared" si="6"/>
        <v/>
      </c>
      <c r="C135" s="1" t="str">
        <f t="shared" si="7"/>
        <v/>
      </c>
      <c r="D135" s="1" t="str">
        <f t="shared" si="8"/>
        <v/>
      </c>
      <c r="J135" s="13">
        <f t="shared" si="4"/>
        <v>0</v>
      </c>
      <c r="K135" s="1" t="s">
        <v>24</v>
      </c>
    </row>
    <row r="136" spans="1:11">
      <c r="A136" s="1" t="str">
        <f t="shared" si="5"/>
        <v/>
      </c>
      <c r="B136" s="1" t="str">
        <f t="shared" si="6"/>
        <v/>
      </c>
      <c r="C136" s="1" t="str">
        <f t="shared" si="7"/>
        <v/>
      </c>
      <c r="D136" s="1" t="str">
        <f t="shared" si="8"/>
        <v/>
      </c>
      <c r="J136" s="13">
        <f t="shared" si="4"/>
        <v>0</v>
      </c>
      <c r="K136" s="1" t="s">
        <v>55</v>
      </c>
    </row>
    <row r="137" spans="1:11">
      <c r="A137" s="1" t="str">
        <f t="shared" si="5"/>
        <v/>
      </c>
      <c r="B137" s="1" t="str">
        <f t="shared" si="6"/>
        <v/>
      </c>
      <c r="C137" s="1" t="str">
        <f t="shared" si="7"/>
        <v/>
      </c>
      <c r="D137" s="1" t="str">
        <f t="shared" si="8"/>
        <v/>
      </c>
      <c r="J137" s="13">
        <f t="shared" si="4"/>
        <v>0</v>
      </c>
      <c r="K137" s="1" t="s">
        <v>24</v>
      </c>
    </row>
    <row r="138" spans="1:11">
      <c r="A138" s="1" t="str">
        <f t="shared" si="5"/>
        <v/>
      </c>
      <c r="B138" s="1" t="str">
        <f t="shared" si="6"/>
        <v/>
      </c>
      <c r="C138" s="1" t="str">
        <f t="shared" si="7"/>
        <v/>
      </c>
      <c r="D138" s="1" t="str">
        <f t="shared" si="8"/>
        <v/>
      </c>
      <c r="J138" s="13">
        <f t="shared" si="4"/>
        <v>0</v>
      </c>
      <c r="K138" s="1" t="s">
        <v>24</v>
      </c>
    </row>
    <row r="139" spans="1:11">
      <c r="A139" s="1" t="str">
        <f t="shared" si="5"/>
        <v/>
      </c>
      <c r="B139" s="1" t="str">
        <f t="shared" si="6"/>
        <v/>
      </c>
      <c r="C139" s="1" t="str">
        <f t="shared" si="7"/>
        <v/>
      </c>
      <c r="D139" s="1" t="str">
        <f t="shared" si="8"/>
        <v/>
      </c>
      <c r="J139" s="13">
        <f t="shared" si="4"/>
        <v>0</v>
      </c>
      <c r="K139" s="1" t="s">
        <v>59</v>
      </c>
    </row>
    <row r="140" spans="1:11">
      <c r="A140" s="1" t="str">
        <f t="shared" si="5"/>
        <v/>
      </c>
      <c r="B140" s="1" t="str">
        <f t="shared" si="6"/>
        <v/>
      </c>
      <c r="C140" s="1" t="str">
        <f t="shared" si="7"/>
        <v/>
      </c>
      <c r="D140" s="1" t="str">
        <f t="shared" si="8"/>
        <v/>
      </c>
      <c r="J140" s="13">
        <f t="shared" si="4"/>
        <v>0</v>
      </c>
      <c r="K140" s="1" t="s">
        <v>24</v>
      </c>
    </row>
    <row r="141" spans="1:11">
      <c r="A141" s="1" t="str">
        <f t="shared" si="5"/>
        <v/>
      </c>
      <c r="B141" s="1" t="str">
        <f t="shared" si="6"/>
        <v/>
      </c>
      <c r="C141" s="1" t="str">
        <f t="shared" si="7"/>
        <v/>
      </c>
      <c r="D141" s="1" t="str">
        <f t="shared" si="8"/>
        <v/>
      </c>
      <c r="J141" s="13">
        <f t="shared" si="4"/>
        <v>0</v>
      </c>
      <c r="K141" s="1" t="s">
        <v>29</v>
      </c>
    </row>
    <row r="142" spans="1:11">
      <c r="A142" s="1" t="str">
        <f t="shared" si="5"/>
        <v/>
      </c>
      <c r="B142" s="1" t="str">
        <f t="shared" si="6"/>
        <v/>
      </c>
      <c r="C142" s="1" t="str">
        <f t="shared" si="7"/>
        <v/>
      </c>
      <c r="D142" s="1" t="str">
        <f t="shared" si="8"/>
        <v/>
      </c>
      <c r="J142" s="13">
        <f t="shared" si="4"/>
        <v>0</v>
      </c>
      <c r="K142" s="1" t="s">
        <v>29</v>
      </c>
    </row>
    <row r="143" spans="1:11">
      <c r="A143" s="1" t="str">
        <f t="shared" si="5"/>
        <v/>
      </c>
      <c r="B143" s="1" t="str">
        <f t="shared" si="6"/>
        <v/>
      </c>
      <c r="C143" s="1" t="str">
        <f t="shared" si="7"/>
        <v/>
      </c>
      <c r="D143" s="1" t="str">
        <f t="shared" si="8"/>
        <v/>
      </c>
      <c r="J143" s="13">
        <f t="shared" si="4"/>
        <v>0</v>
      </c>
      <c r="K143" s="1" t="s">
        <v>29</v>
      </c>
    </row>
    <row r="144" spans="1:11">
      <c r="A144" s="1" t="str">
        <f t="shared" si="5"/>
        <v/>
      </c>
      <c r="B144" s="1" t="str">
        <f t="shared" si="6"/>
        <v/>
      </c>
      <c r="C144" s="1" t="str">
        <f t="shared" si="7"/>
        <v/>
      </c>
      <c r="D144" s="1" t="str">
        <f t="shared" si="8"/>
        <v/>
      </c>
      <c r="J144" s="13">
        <f t="shared" si="4"/>
        <v>0</v>
      </c>
      <c r="K144" s="1" t="s">
        <v>29</v>
      </c>
    </row>
    <row r="145" spans="1:11">
      <c r="A145" s="1" t="str">
        <f t="shared" si="5"/>
        <v/>
      </c>
      <c r="B145" s="1" t="str">
        <f t="shared" si="6"/>
        <v/>
      </c>
      <c r="C145" s="1" t="str">
        <f t="shared" si="7"/>
        <v/>
      </c>
      <c r="D145" s="1" t="str">
        <f t="shared" si="8"/>
        <v/>
      </c>
      <c r="J145" s="13">
        <f t="shared" si="4"/>
        <v>0</v>
      </c>
      <c r="K145" s="1" t="s">
        <v>24</v>
      </c>
    </row>
    <row r="146" spans="1:11">
      <c r="A146" s="1" t="str">
        <f t="shared" si="5"/>
        <v/>
      </c>
      <c r="B146" s="1" t="str">
        <f t="shared" si="6"/>
        <v/>
      </c>
      <c r="C146" s="1" t="str">
        <f t="shared" si="7"/>
        <v/>
      </c>
      <c r="D146" s="1" t="str">
        <f t="shared" si="8"/>
        <v/>
      </c>
      <c r="J146" s="13">
        <f t="shared" si="4"/>
        <v>0</v>
      </c>
      <c r="K146" s="1" t="s">
        <v>29</v>
      </c>
    </row>
    <row r="147" spans="1:11">
      <c r="A147" s="1" t="str">
        <f t="shared" si="5"/>
        <v/>
      </c>
      <c r="B147" s="1" t="str">
        <f t="shared" si="6"/>
        <v/>
      </c>
      <c r="C147" s="1" t="str">
        <f t="shared" si="7"/>
        <v/>
      </c>
      <c r="D147" s="1" t="str">
        <f t="shared" si="8"/>
        <v/>
      </c>
      <c r="J147" s="13">
        <f t="shared" si="4"/>
        <v>0</v>
      </c>
      <c r="K147" s="1"/>
    </row>
    <row r="148" spans="1:11">
      <c r="A148" s="1" t="str">
        <f t="shared" si="5"/>
        <v/>
      </c>
      <c r="B148" s="1" t="str">
        <f t="shared" si="6"/>
        <v/>
      </c>
      <c r="C148" s="1" t="str">
        <f t="shared" si="7"/>
        <v/>
      </c>
      <c r="D148" s="1" t="str">
        <f t="shared" si="8"/>
        <v/>
      </c>
      <c r="J148" s="13">
        <f t="shared" si="4"/>
        <v>0</v>
      </c>
      <c r="K148" s="1"/>
    </row>
    <row r="149" spans="1:11">
      <c r="A149" s="1" t="str">
        <f t="shared" si="5"/>
        <v/>
      </c>
      <c r="B149" s="1" t="str">
        <f t="shared" si="6"/>
        <v/>
      </c>
      <c r="C149" s="1" t="str">
        <f t="shared" si="7"/>
        <v/>
      </c>
      <c r="D149" s="1" t="str">
        <f t="shared" si="8"/>
        <v/>
      </c>
      <c r="J149" s="13">
        <f t="shared" si="4"/>
        <v>0</v>
      </c>
      <c r="K149" s="1"/>
    </row>
    <row r="150" spans="1:11">
      <c r="A150" s="1" t="str">
        <f t="shared" si="5"/>
        <v/>
      </c>
      <c r="B150" s="1" t="str">
        <f t="shared" si="6"/>
        <v/>
      </c>
      <c r="C150" s="1" t="str">
        <f t="shared" si="7"/>
        <v/>
      </c>
      <c r="D150" s="1" t="str">
        <f t="shared" si="8"/>
        <v/>
      </c>
      <c r="J150" s="13">
        <f t="shared" si="4"/>
        <v>0</v>
      </c>
      <c r="K150" s="1"/>
    </row>
    <row r="151" spans="1:11">
      <c r="A151" s="1" t="str">
        <f t="shared" si="5"/>
        <v/>
      </c>
      <c r="B151" s="1" t="str">
        <f t="shared" si="6"/>
        <v/>
      </c>
      <c r="C151" s="1" t="str">
        <f t="shared" si="7"/>
        <v/>
      </c>
      <c r="D151" s="1" t="str">
        <f t="shared" si="8"/>
        <v/>
      </c>
      <c r="J151" s="13">
        <f t="shared" si="4"/>
        <v>0</v>
      </c>
      <c r="K151" s="1"/>
    </row>
    <row r="152" spans="1:11">
      <c r="A152" s="1" t="str">
        <f t="shared" si="5"/>
        <v/>
      </c>
      <c r="B152" s="1" t="str">
        <f t="shared" si="6"/>
        <v/>
      </c>
      <c r="C152" s="1" t="str">
        <f t="shared" si="7"/>
        <v/>
      </c>
      <c r="D152" s="1" t="str">
        <f t="shared" si="8"/>
        <v/>
      </c>
      <c r="J152" s="13">
        <f t="shared" si="4"/>
        <v>0</v>
      </c>
      <c r="K152" s="1"/>
    </row>
    <row r="153" spans="1:11">
      <c r="A153" s="1" t="str">
        <f t="shared" si="5"/>
        <v/>
      </c>
      <c r="B153" s="1" t="str">
        <f t="shared" si="6"/>
        <v/>
      </c>
      <c r="C153" s="1" t="str">
        <f t="shared" si="7"/>
        <v/>
      </c>
      <c r="D153" s="1" t="str">
        <f t="shared" si="8"/>
        <v/>
      </c>
      <c r="J153" s="13">
        <f t="shared" si="4"/>
        <v>0</v>
      </c>
      <c r="K153" s="1"/>
    </row>
    <row r="154" spans="1:11">
      <c r="A154" s="1" t="str">
        <f t="shared" si="5"/>
        <v/>
      </c>
      <c r="B154" s="1" t="str">
        <f t="shared" si="6"/>
        <v/>
      </c>
      <c r="C154" s="1" t="str">
        <f t="shared" si="7"/>
        <v/>
      </c>
      <c r="D154" s="1" t="str">
        <f t="shared" si="8"/>
        <v/>
      </c>
      <c r="J154" s="13">
        <f t="shared" si="4"/>
        <v>0</v>
      </c>
      <c r="K154" s="1"/>
    </row>
    <row r="155" spans="1:11">
      <c r="A155" s="1" t="str">
        <f t="shared" si="5"/>
        <v/>
      </c>
      <c r="B155" s="1" t="str">
        <f t="shared" si="6"/>
        <v/>
      </c>
      <c r="C155" s="1" t="str">
        <f t="shared" si="7"/>
        <v/>
      </c>
      <c r="D155" s="1" t="str">
        <f t="shared" si="8"/>
        <v/>
      </c>
      <c r="J155" s="13">
        <f t="shared" si="4"/>
        <v>0</v>
      </c>
      <c r="K155" s="1"/>
    </row>
    <row r="156" spans="1:11">
      <c r="A156" s="1" t="str">
        <f t="shared" si="5"/>
        <v/>
      </c>
      <c r="B156" s="1" t="str">
        <f t="shared" si="6"/>
        <v/>
      </c>
      <c r="C156" s="1" t="str">
        <f t="shared" si="7"/>
        <v/>
      </c>
      <c r="D156" s="1" t="str">
        <f t="shared" si="8"/>
        <v/>
      </c>
      <c r="J156" s="13">
        <f t="shared" si="4"/>
        <v>0</v>
      </c>
      <c r="K156" s="1"/>
    </row>
    <row r="157" spans="1:11">
      <c r="A157" s="1" t="str">
        <f t="shared" si="5"/>
        <v/>
      </c>
      <c r="B157" s="1" t="str">
        <f t="shared" si="6"/>
        <v/>
      </c>
      <c r="C157" s="1" t="str">
        <f t="shared" si="7"/>
        <v/>
      </c>
      <c r="D157" s="1" t="str">
        <f t="shared" si="8"/>
        <v/>
      </c>
      <c r="J157" s="13">
        <f t="shared" si="4"/>
        <v>0</v>
      </c>
      <c r="K157" s="1"/>
    </row>
    <row r="158" spans="1:11">
      <c r="A158" s="1" t="str">
        <f t="shared" si="5"/>
        <v/>
      </c>
      <c r="B158" s="1" t="str">
        <f t="shared" si="6"/>
        <v/>
      </c>
      <c r="C158" s="1" t="str">
        <f t="shared" si="7"/>
        <v/>
      </c>
      <c r="D158" s="1" t="str">
        <f t="shared" si="8"/>
        <v/>
      </c>
      <c r="J158" s="13">
        <f t="shared" si="4"/>
        <v>0</v>
      </c>
      <c r="K158" s="1"/>
    </row>
    <row r="159" spans="1:11">
      <c r="A159" s="1" t="str">
        <f t="shared" si="5"/>
        <v/>
      </c>
      <c r="B159" s="1" t="str">
        <f t="shared" si="6"/>
        <v/>
      </c>
      <c r="C159" s="1" t="str">
        <f t="shared" si="7"/>
        <v/>
      </c>
      <c r="D159" s="1" t="str">
        <f t="shared" si="8"/>
        <v/>
      </c>
      <c r="J159" s="13">
        <f t="shared" si="4"/>
        <v>0</v>
      </c>
    </row>
    <row r="160" spans="1:11">
      <c r="A160" s="1" t="str">
        <f t="shared" si="5"/>
        <v/>
      </c>
      <c r="B160" s="1" t="str">
        <f t="shared" si="6"/>
        <v/>
      </c>
      <c r="C160" s="1" t="str">
        <f t="shared" si="7"/>
        <v/>
      </c>
      <c r="D160" s="1" t="str">
        <f t="shared" si="8"/>
        <v/>
      </c>
      <c r="J160" s="13">
        <f t="shared" si="4"/>
        <v>0</v>
      </c>
    </row>
    <row r="161" spans="1:11">
      <c r="A161" s="1" t="str">
        <f t="shared" si="5"/>
        <v/>
      </c>
      <c r="B161" s="1" t="str">
        <f t="shared" si="6"/>
        <v/>
      </c>
      <c r="C161" s="1" t="str">
        <f t="shared" si="7"/>
        <v/>
      </c>
      <c r="D161" s="1" t="str">
        <f t="shared" si="8"/>
        <v/>
      </c>
      <c r="J161" s="13">
        <f t="shared" si="4"/>
        <v>0</v>
      </c>
    </row>
    <row r="162" spans="1:11">
      <c r="A162" s="1" t="str">
        <f t="shared" si="5"/>
        <v/>
      </c>
      <c r="B162" s="1" t="str">
        <f t="shared" si="6"/>
        <v/>
      </c>
      <c r="C162" s="1" t="str">
        <f t="shared" si="7"/>
        <v/>
      </c>
      <c r="D162" s="1" t="str">
        <f t="shared" si="8"/>
        <v/>
      </c>
      <c r="J162" s="13">
        <f t="shared" si="4"/>
        <v>0</v>
      </c>
      <c r="K162" s="1"/>
    </row>
    <row r="163" spans="1:11">
      <c r="A163" s="1" t="str">
        <f t="shared" si="5"/>
        <v/>
      </c>
      <c r="B163" s="1" t="str">
        <f t="shared" si="6"/>
        <v/>
      </c>
      <c r="C163" s="1" t="str">
        <f t="shared" si="7"/>
        <v/>
      </c>
      <c r="D163" s="1" t="str">
        <f t="shared" si="8"/>
        <v/>
      </c>
      <c r="J163" s="13">
        <f t="shared" si="4"/>
        <v>0</v>
      </c>
      <c r="K163" s="1"/>
    </row>
    <row r="164" spans="1:11">
      <c r="A164" s="1" t="str">
        <f t="shared" si="5"/>
        <v/>
      </c>
      <c r="B164" s="1" t="str">
        <f t="shared" si="6"/>
        <v/>
      </c>
      <c r="C164" s="1" t="str">
        <f t="shared" si="7"/>
        <v/>
      </c>
      <c r="D164" s="1" t="str">
        <f t="shared" si="8"/>
        <v/>
      </c>
      <c r="J164" s="13">
        <f t="shared" si="4"/>
        <v>0</v>
      </c>
      <c r="K164" s="1"/>
    </row>
    <row r="165" spans="1:11">
      <c r="A165" s="1" t="str">
        <f t="shared" si="5"/>
        <v/>
      </c>
      <c r="B165" s="1" t="str">
        <f t="shared" si="6"/>
        <v/>
      </c>
      <c r="C165" s="1" t="str">
        <f t="shared" si="7"/>
        <v/>
      </c>
      <c r="D165" s="1" t="str">
        <f t="shared" si="8"/>
        <v/>
      </c>
      <c r="J165" s="13">
        <f t="shared" si="4"/>
        <v>0</v>
      </c>
      <c r="K165" s="1"/>
    </row>
    <row r="166" spans="1:11">
      <c r="A166" s="1" t="str">
        <f t="shared" si="5"/>
        <v/>
      </c>
      <c r="B166" s="1" t="str">
        <f t="shared" si="6"/>
        <v/>
      </c>
      <c r="C166" s="1" t="str">
        <f t="shared" si="7"/>
        <v/>
      </c>
      <c r="D166" s="1" t="str">
        <f t="shared" si="8"/>
        <v/>
      </c>
      <c r="J166" s="13">
        <f t="shared" si="4"/>
        <v>0</v>
      </c>
      <c r="K166" s="1"/>
    </row>
    <row r="167" spans="1:11">
      <c r="A167" s="1" t="str">
        <f t="shared" si="5"/>
        <v/>
      </c>
      <c r="B167" s="1" t="str">
        <f t="shared" si="6"/>
        <v/>
      </c>
      <c r="C167" s="1" t="str">
        <f t="shared" si="7"/>
        <v/>
      </c>
      <c r="D167" s="1" t="str">
        <f t="shared" si="8"/>
        <v/>
      </c>
      <c r="J167" s="13">
        <f t="shared" si="4"/>
        <v>0</v>
      </c>
      <c r="K167" s="1"/>
    </row>
    <row r="168" spans="1:11">
      <c r="A168" s="1" t="str">
        <f t="shared" si="5"/>
        <v/>
      </c>
      <c r="B168" s="1" t="str">
        <f t="shared" si="6"/>
        <v/>
      </c>
      <c r="C168" s="1" t="str">
        <f t="shared" si="7"/>
        <v/>
      </c>
      <c r="D168" s="1" t="str">
        <f t="shared" si="8"/>
        <v/>
      </c>
      <c r="J168" s="13">
        <f t="shared" si="4"/>
        <v>0</v>
      </c>
      <c r="K168" s="1"/>
    </row>
    <row r="169" spans="1:11">
      <c r="A169" s="1" t="str">
        <f t="shared" si="5"/>
        <v/>
      </c>
      <c r="B169" s="1" t="str">
        <f t="shared" si="6"/>
        <v/>
      </c>
      <c r="C169" s="1" t="str">
        <f t="shared" si="7"/>
        <v/>
      </c>
      <c r="D169" s="1" t="str">
        <f t="shared" si="8"/>
        <v/>
      </c>
      <c r="J169" s="13">
        <f t="shared" si="4"/>
        <v>0</v>
      </c>
      <c r="K169" s="1"/>
    </row>
    <row r="170" spans="1:11">
      <c r="A170" s="1" t="str">
        <f t="shared" si="5"/>
        <v/>
      </c>
      <c r="B170" s="1" t="str">
        <f t="shared" si="6"/>
        <v/>
      </c>
      <c r="C170" s="1" t="str">
        <f t="shared" si="7"/>
        <v/>
      </c>
      <c r="D170" s="1" t="str">
        <f t="shared" si="8"/>
        <v/>
      </c>
      <c r="J170" s="13">
        <f t="shared" si="4"/>
        <v>0</v>
      </c>
      <c r="K170" s="1"/>
    </row>
    <row r="171" spans="1:11">
      <c r="A171" s="1" t="str">
        <f t="shared" si="5"/>
        <v/>
      </c>
      <c r="B171" s="1" t="str">
        <f t="shared" si="6"/>
        <v/>
      </c>
      <c r="C171" s="1" t="str">
        <f t="shared" si="7"/>
        <v/>
      </c>
      <c r="D171" s="1" t="str">
        <f t="shared" si="8"/>
        <v/>
      </c>
      <c r="J171" s="13">
        <f t="shared" si="4"/>
        <v>0</v>
      </c>
      <c r="K171" s="1"/>
    </row>
    <row r="172" spans="1:11">
      <c r="A172" s="1" t="str">
        <f t="shared" si="5"/>
        <v/>
      </c>
      <c r="B172" s="1" t="str">
        <f t="shared" si="6"/>
        <v/>
      </c>
      <c r="C172" s="1" t="str">
        <f t="shared" si="7"/>
        <v/>
      </c>
      <c r="D172" s="1" t="str">
        <f t="shared" si="8"/>
        <v/>
      </c>
      <c r="J172" s="13">
        <f t="shared" si="4"/>
        <v>0</v>
      </c>
      <c r="K172" s="1"/>
    </row>
    <row r="173" spans="1:11">
      <c r="A173" s="1" t="str">
        <f t="shared" si="5"/>
        <v/>
      </c>
      <c r="B173" s="1" t="str">
        <f t="shared" si="6"/>
        <v/>
      </c>
      <c r="C173" s="1" t="str">
        <f t="shared" si="7"/>
        <v/>
      </c>
      <c r="D173" s="1" t="str">
        <f t="shared" si="8"/>
        <v/>
      </c>
      <c r="J173" s="13">
        <f t="shared" si="4"/>
        <v>0</v>
      </c>
      <c r="K173" s="1"/>
    </row>
    <row r="174" spans="1:11">
      <c r="A174" s="1" t="str">
        <f t="shared" si="5"/>
        <v/>
      </c>
      <c r="B174" s="1" t="str">
        <f t="shared" si="6"/>
        <v/>
      </c>
      <c r="C174" s="1" t="str">
        <f t="shared" si="7"/>
        <v/>
      </c>
      <c r="D174" s="1" t="str">
        <f t="shared" si="8"/>
        <v/>
      </c>
      <c r="J174" s="13">
        <f t="shared" si="4"/>
        <v>0</v>
      </c>
      <c r="K174" s="1"/>
    </row>
    <row r="175" spans="1:11">
      <c r="A175" s="1" t="str">
        <f t="shared" si="5"/>
        <v/>
      </c>
      <c r="B175" s="1" t="str">
        <f t="shared" si="6"/>
        <v/>
      </c>
      <c r="C175" s="1" t="str">
        <f t="shared" si="7"/>
        <v/>
      </c>
      <c r="D175" s="1" t="str">
        <f t="shared" si="8"/>
        <v/>
      </c>
      <c r="J175" s="13">
        <f t="shared" si="4"/>
        <v>0</v>
      </c>
      <c r="K175" s="1"/>
    </row>
    <row r="176" spans="1:11">
      <c r="A176" s="1" t="str">
        <f t="shared" si="5"/>
        <v/>
      </c>
      <c r="B176" s="1" t="str">
        <f t="shared" si="6"/>
        <v/>
      </c>
      <c r="C176" s="1" t="str">
        <f t="shared" si="7"/>
        <v/>
      </c>
      <c r="D176" s="1" t="str">
        <f t="shared" si="8"/>
        <v/>
      </c>
      <c r="J176" s="13">
        <f t="shared" si="4"/>
        <v>0</v>
      </c>
      <c r="K176" s="1"/>
    </row>
    <row r="177" spans="1:11">
      <c r="A177" s="1" t="str">
        <f t="shared" si="5"/>
        <v/>
      </c>
      <c r="B177" s="1" t="str">
        <f t="shared" si="6"/>
        <v/>
      </c>
      <c r="C177" s="1" t="str">
        <f t="shared" si="7"/>
        <v/>
      </c>
      <c r="D177" s="1" t="str">
        <f t="shared" si="8"/>
        <v/>
      </c>
      <c r="J177" s="13">
        <f t="shared" si="4"/>
        <v>0</v>
      </c>
      <c r="K177" s="1"/>
    </row>
    <row r="178" spans="1:11">
      <c r="A178" s="1" t="str">
        <f t="shared" si="5"/>
        <v/>
      </c>
      <c r="B178" s="1" t="str">
        <f t="shared" si="6"/>
        <v/>
      </c>
      <c r="C178" s="1" t="str">
        <f t="shared" si="7"/>
        <v/>
      </c>
      <c r="D178" s="1" t="str">
        <f t="shared" si="8"/>
        <v/>
      </c>
      <c r="J178" s="13">
        <f t="shared" si="4"/>
        <v>0</v>
      </c>
      <c r="K178" s="1"/>
    </row>
    <row r="179" spans="1:11">
      <c r="A179" s="1" t="str">
        <f t="shared" si="5"/>
        <v/>
      </c>
      <c r="B179" s="1" t="str">
        <f t="shared" si="6"/>
        <v/>
      </c>
      <c r="C179" s="1" t="str">
        <f t="shared" si="7"/>
        <v/>
      </c>
      <c r="D179" s="1" t="str">
        <f t="shared" si="8"/>
        <v/>
      </c>
      <c r="J179" s="13">
        <f t="shared" si="4"/>
        <v>0</v>
      </c>
      <c r="K179" s="1"/>
    </row>
    <row r="180" spans="1:11">
      <c r="A180" s="1" t="str">
        <f t="shared" si="5"/>
        <v/>
      </c>
      <c r="B180" s="1" t="str">
        <f t="shared" si="6"/>
        <v/>
      </c>
      <c r="C180" s="1" t="str">
        <f t="shared" si="7"/>
        <v/>
      </c>
      <c r="D180" s="1" t="str">
        <f t="shared" si="8"/>
        <v/>
      </c>
      <c r="J180" s="13">
        <f t="shared" si="4"/>
        <v>0</v>
      </c>
      <c r="K180" s="1"/>
    </row>
    <row r="181" spans="1:11">
      <c r="A181" s="1" t="str">
        <f t="shared" si="5"/>
        <v/>
      </c>
      <c r="B181" s="1" t="str">
        <f t="shared" si="6"/>
        <v/>
      </c>
      <c r="C181" s="1" t="str">
        <f t="shared" si="7"/>
        <v/>
      </c>
      <c r="D181" s="1" t="str">
        <f t="shared" si="8"/>
        <v/>
      </c>
      <c r="J181" s="13">
        <f t="shared" si="4"/>
        <v>0</v>
      </c>
      <c r="K181" s="1"/>
    </row>
    <row r="182" spans="1:11">
      <c r="A182" s="1" t="str">
        <f t="shared" si="5"/>
        <v/>
      </c>
      <c r="B182" s="1" t="str">
        <f t="shared" si="6"/>
        <v/>
      </c>
      <c r="C182" s="1" t="str">
        <f t="shared" si="7"/>
        <v/>
      </c>
      <c r="D182" s="1" t="str">
        <f t="shared" si="8"/>
        <v/>
      </c>
      <c r="J182" s="13">
        <f t="shared" si="4"/>
        <v>0</v>
      </c>
      <c r="K182" s="1"/>
    </row>
    <row r="183" spans="1:11">
      <c r="A183" s="1" t="str">
        <f t="shared" si="5"/>
        <v/>
      </c>
      <c r="B183" s="1" t="str">
        <f t="shared" si="6"/>
        <v/>
      </c>
      <c r="C183" s="1" t="str">
        <f t="shared" si="7"/>
        <v/>
      </c>
      <c r="D183" s="1" t="str">
        <f t="shared" si="8"/>
        <v/>
      </c>
      <c r="J183" s="13">
        <f t="shared" si="4"/>
        <v>0</v>
      </c>
      <c r="K183" s="1"/>
    </row>
    <row r="184" spans="1:11">
      <c r="A184" s="1" t="str">
        <f t="shared" si="5"/>
        <v/>
      </c>
      <c r="B184" s="1" t="str">
        <f t="shared" si="6"/>
        <v/>
      </c>
      <c r="C184" s="1" t="str">
        <f t="shared" si="7"/>
        <v/>
      </c>
      <c r="D184" s="1" t="str">
        <f t="shared" si="8"/>
        <v/>
      </c>
      <c r="J184" s="13">
        <f t="shared" si="4"/>
        <v>0</v>
      </c>
      <c r="K184" s="1"/>
    </row>
    <row r="185" spans="1:11">
      <c r="A185" s="1" t="str">
        <f t="shared" si="5"/>
        <v/>
      </c>
      <c r="B185" s="1" t="str">
        <f t="shared" si="6"/>
        <v/>
      </c>
      <c r="C185" s="1" t="str">
        <f t="shared" si="7"/>
        <v/>
      </c>
      <c r="D185" s="1" t="str">
        <f t="shared" si="8"/>
        <v/>
      </c>
      <c r="J185" s="13">
        <f t="shared" si="4"/>
        <v>0</v>
      </c>
      <c r="K185" s="1"/>
    </row>
    <row r="186" spans="1:11">
      <c r="A186" s="1" t="str">
        <f t="shared" si="5"/>
        <v/>
      </c>
      <c r="B186" s="1" t="str">
        <f t="shared" si="6"/>
        <v/>
      </c>
      <c r="C186" s="1" t="str">
        <f t="shared" si="7"/>
        <v/>
      </c>
      <c r="D186" s="1" t="str">
        <f t="shared" si="8"/>
        <v/>
      </c>
      <c r="J186" s="13">
        <f t="shared" si="4"/>
        <v>0</v>
      </c>
      <c r="K186" s="1"/>
    </row>
    <row r="187" spans="1:11">
      <c r="A187" s="1" t="str">
        <f t="shared" si="5"/>
        <v/>
      </c>
      <c r="B187" s="1" t="str">
        <f t="shared" si="6"/>
        <v/>
      </c>
      <c r="C187" s="1" t="str">
        <f t="shared" si="7"/>
        <v/>
      </c>
      <c r="D187" s="1" t="str">
        <f t="shared" si="8"/>
        <v/>
      </c>
      <c r="J187" s="13">
        <f t="shared" si="4"/>
        <v>0</v>
      </c>
      <c r="K187" s="1"/>
    </row>
    <row r="188" spans="1:11">
      <c r="A188" s="1" t="str">
        <f t="shared" si="5"/>
        <v/>
      </c>
      <c r="B188" s="1" t="str">
        <f t="shared" si="6"/>
        <v/>
      </c>
      <c r="C188" s="1" t="str">
        <f t="shared" si="7"/>
        <v/>
      </c>
      <c r="D188" s="1" t="str">
        <f t="shared" si="8"/>
        <v/>
      </c>
      <c r="J188" s="13">
        <f t="shared" si="4"/>
        <v>0</v>
      </c>
      <c r="K188" s="1"/>
    </row>
    <row r="189" spans="1:11">
      <c r="A189" s="1" t="str">
        <f t="shared" si="5"/>
        <v/>
      </c>
      <c r="B189" s="1" t="str">
        <f t="shared" si="6"/>
        <v/>
      </c>
      <c r="C189" s="1" t="str">
        <f t="shared" si="7"/>
        <v/>
      </c>
      <c r="D189" s="1" t="str">
        <f t="shared" si="8"/>
        <v/>
      </c>
      <c r="J189" s="13">
        <f t="shared" si="4"/>
        <v>0</v>
      </c>
      <c r="K189" s="1"/>
    </row>
    <row r="190" spans="1:11">
      <c r="A190" s="1" t="str">
        <f t="shared" si="5"/>
        <v/>
      </c>
      <c r="B190" s="1" t="str">
        <f t="shared" si="6"/>
        <v/>
      </c>
      <c r="C190" s="1" t="str">
        <f t="shared" si="7"/>
        <v/>
      </c>
      <c r="D190" s="1" t="str">
        <f t="shared" si="8"/>
        <v/>
      </c>
      <c r="J190" s="13">
        <f t="shared" si="4"/>
        <v>0</v>
      </c>
      <c r="K190" s="1"/>
    </row>
    <row r="191" spans="1:11">
      <c r="A191" s="1" t="str">
        <f t="shared" si="5"/>
        <v/>
      </c>
      <c r="B191" s="1" t="str">
        <f t="shared" si="6"/>
        <v/>
      </c>
      <c r="C191" s="1" t="str">
        <f t="shared" si="7"/>
        <v/>
      </c>
      <c r="D191" s="1" t="str">
        <f t="shared" si="8"/>
        <v/>
      </c>
      <c r="J191" s="13">
        <f t="shared" si="4"/>
        <v>0</v>
      </c>
      <c r="K191" s="1"/>
    </row>
    <row r="192" spans="1:11">
      <c r="A192" s="1" t="str">
        <f t="shared" si="5"/>
        <v/>
      </c>
      <c r="B192" s="1" t="str">
        <f t="shared" si="6"/>
        <v/>
      </c>
      <c r="C192" s="1" t="str">
        <f t="shared" si="7"/>
        <v/>
      </c>
      <c r="D192" s="1" t="str">
        <f t="shared" si="8"/>
        <v/>
      </c>
      <c r="J192" s="13">
        <f t="shared" si="4"/>
        <v>0</v>
      </c>
      <c r="K192" s="1"/>
    </row>
    <row r="193" spans="1:11">
      <c r="A193" s="1" t="str">
        <f t="shared" si="5"/>
        <v/>
      </c>
      <c r="B193" s="1" t="str">
        <f t="shared" si="6"/>
        <v/>
      </c>
      <c r="C193" s="1" t="str">
        <f t="shared" si="7"/>
        <v/>
      </c>
      <c r="D193" s="1" t="str">
        <f t="shared" si="8"/>
        <v/>
      </c>
      <c r="J193" s="13">
        <f t="shared" si="4"/>
        <v>0</v>
      </c>
      <c r="K193" s="1"/>
    </row>
    <row r="194" spans="1:11">
      <c r="A194" s="1" t="str">
        <f t="shared" si="5"/>
        <v/>
      </c>
      <c r="B194" s="1" t="str">
        <f t="shared" si="6"/>
        <v/>
      </c>
      <c r="C194" s="1" t="str">
        <f t="shared" si="7"/>
        <v/>
      </c>
      <c r="D194" s="1" t="str">
        <f t="shared" si="8"/>
        <v/>
      </c>
      <c r="J194" s="13">
        <f t="shared" si="4"/>
        <v>0</v>
      </c>
      <c r="K194" s="1"/>
    </row>
    <row r="195" spans="1:11">
      <c r="A195" s="1" t="str">
        <f t="shared" si="5"/>
        <v/>
      </c>
      <c r="B195" s="1" t="str">
        <f t="shared" si="6"/>
        <v/>
      </c>
      <c r="C195" s="1" t="str">
        <f t="shared" si="7"/>
        <v/>
      </c>
      <c r="D195" s="1" t="str">
        <f t="shared" si="8"/>
        <v/>
      </c>
      <c r="J195" s="13">
        <f t="shared" si="4"/>
        <v>0</v>
      </c>
      <c r="K195" s="1"/>
    </row>
    <row r="196" spans="1:11">
      <c r="A196" s="1" t="str">
        <f t="shared" si="5"/>
        <v/>
      </c>
      <c r="B196" s="1" t="str">
        <f t="shared" si="6"/>
        <v/>
      </c>
      <c r="C196" s="1" t="str">
        <f t="shared" si="7"/>
        <v/>
      </c>
      <c r="D196" s="1" t="str">
        <f t="shared" si="8"/>
        <v/>
      </c>
      <c r="J196" s="13">
        <f t="shared" si="4"/>
        <v>0</v>
      </c>
      <c r="K196" s="1"/>
    </row>
    <row r="197" spans="1:11">
      <c r="A197" s="1" t="str">
        <f t="shared" si="5"/>
        <v/>
      </c>
      <c r="B197" s="1" t="str">
        <f t="shared" si="6"/>
        <v/>
      </c>
      <c r="C197" s="1" t="str">
        <f t="shared" si="7"/>
        <v/>
      </c>
      <c r="D197" s="1" t="str">
        <f t="shared" si="8"/>
        <v/>
      </c>
      <c r="J197" s="13">
        <f t="shared" si="4"/>
        <v>0</v>
      </c>
      <c r="K197" s="1"/>
    </row>
    <row r="198" spans="1:11">
      <c r="A198" s="1" t="str">
        <f t="shared" si="5"/>
        <v/>
      </c>
      <c r="B198" s="1" t="str">
        <f t="shared" si="6"/>
        <v/>
      </c>
      <c r="C198" s="1" t="str">
        <f t="shared" si="7"/>
        <v/>
      </c>
      <c r="D198" s="1" t="str">
        <f t="shared" si="8"/>
        <v/>
      </c>
      <c r="J198" s="13">
        <f t="shared" si="4"/>
        <v>0</v>
      </c>
      <c r="K198" s="1"/>
    </row>
    <row r="199" spans="1:11">
      <c r="A199" s="1" t="str">
        <f t="shared" si="5"/>
        <v/>
      </c>
      <c r="B199" s="1" t="str">
        <f t="shared" si="6"/>
        <v/>
      </c>
      <c r="C199" s="1" t="str">
        <f t="shared" si="7"/>
        <v/>
      </c>
      <c r="D199" s="1" t="str">
        <f t="shared" si="8"/>
        <v/>
      </c>
      <c r="J199" s="13">
        <f t="shared" si="4"/>
        <v>0</v>
      </c>
      <c r="K199" s="1"/>
    </row>
    <row r="200" spans="1:11">
      <c r="A200" s="1" t="str">
        <f t="shared" si="5"/>
        <v/>
      </c>
      <c r="B200" s="1" t="str">
        <f t="shared" si="6"/>
        <v/>
      </c>
      <c r="C200" s="1" t="str">
        <f t="shared" si="7"/>
        <v/>
      </c>
      <c r="D200" s="1" t="str">
        <f t="shared" si="8"/>
        <v/>
      </c>
      <c r="J200" s="13">
        <f t="shared" si="4"/>
        <v>0</v>
      </c>
      <c r="K200" s="1"/>
    </row>
    <row r="201" spans="1:11">
      <c r="A201" s="1" t="str">
        <f t="shared" si="5"/>
        <v/>
      </c>
      <c r="B201" s="1" t="str">
        <f t="shared" si="6"/>
        <v/>
      </c>
      <c r="C201" s="1" t="str">
        <f t="shared" si="7"/>
        <v/>
      </c>
      <c r="D201" s="1" t="str">
        <f t="shared" si="8"/>
        <v/>
      </c>
      <c r="J201" s="13">
        <f t="shared" si="4"/>
        <v>0</v>
      </c>
      <c r="K201" s="1"/>
    </row>
    <row r="202" spans="1:11">
      <c r="A202" s="1" t="str">
        <f t="shared" si="5"/>
        <v/>
      </c>
      <c r="B202" s="1" t="str">
        <f t="shared" si="6"/>
        <v/>
      </c>
      <c r="C202" s="1" t="str">
        <f t="shared" si="7"/>
        <v/>
      </c>
      <c r="D202" s="1" t="str">
        <f t="shared" si="8"/>
        <v/>
      </c>
      <c r="J202" s="13">
        <f t="shared" si="4"/>
        <v>0</v>
      </c>
      <c r="K202" s="1"/>
    </row>
    <row r="203" spans="1:11">
      <c r="A203" s="1" t="str">
        <f t="shared" si="5"/>
        <v/>
      </c>
      <c r="B203" s="1" t="str">
        <f t="shared" si="6"/>
        <v/>
      </c>
      <c r="C203" s="1" t="str">
        <f t="shared" si="7"/>
        <v/>
      </c>
      <c r="D203" s="1" t="str">
        <f t="shared" si="8"/>
        <v/>
      </c>
      <c r="J203" s="13">
        <f t="shared" si="4"/>
        <v>0</v>
      </c>
      <c r="K203" s="1"/>
    </row>
    <row r="204" spans="1:11">
      <c r="A204" s="1" t="str">
        <f t="shared" si="5"/>
        <v/>
      </c>
      <c r="B204" s="1" t="str">
        <f t="shared" si="6"/>
        <v/>
      </c>
      <c r="C204" s="1" t="str">
        <f t="shared" si="7"/>
        <v/>
      </c>
      <c r="D204" s="1" t="str">
        <f t="shared" si="8"/>
        <v/>
      </c>
      <c r="J204" s="13">
        <f t="shared" si="4"/>
        <v>0</v>
      </c>
      <c r="K204" s="1"/>
    </row>
    <row r="205" spans="1:11">
      <c r="A205" s="1" t="str">
        <f t="shared" si="5"/>
        <v/>
      </c>
      <c r="B205" s="1" t="str">
        <f t="shared" si="6"/>
        <v/>
      </c>
      <c r="C205" s="1" t="str">
        <f t="shared" si="7"/>
        <v/>
      </c>
      <c r="D205" s="1" t="str">
        <f t="shared" si="8"/>
        <v/>
      </c>
      <c r="J205" s="13">
        <f t="shared" si="4"/>
        <v>0</v>
      </c>
      <c r="K205" s="1"/>
    </row>
    <row r="206" spans="1:11">
      <c r="A206" s="1" t="str">
        <f t="shared" si="5"/>
        <v/>
      </c>
      <c r="B206" s="1" t="str">
        <f t="shared" si="6"/>
        <v/>
      </c>
      <c r="C206" s="1" t="str">
        <f t="shared" si="7"/>
        <v/>
      </c>
      <c r="D206" s="1" t="str">
        <f t="shared" si="8"/>
        <v/>
      </c>
      <c r="J206" s="13">
        <f t="shared" si="4"/>
        <v>0</v>
      </c>
      <c r="K206" s="1"/>
    </row>
    <row r="207" spans="1:11">
      <c r="A207" s="1" t="str">
        <f t="shared" si="5"/>
        <v/>
      </c>
      <c r="B207" s="1" t="str">
        <f t="shared" si="6"/>
        <v/>
      </c>
      <c r="C207" s="1" t="str">
        <f t="shared" si="7"/>
        <v/>
      </c>
      <c r="D207" s="1" t="str">
        <f t="shared" si="8"/>
        <v/>
      </c>
      <c r="J207" s="13">
        <f t="shared" si="4"/>
        <v>0</v>
      </c>
      <c r="K207" s="1"/>
    </row>
    <row r="208" spans="1:11">
      <c r="A208" s="1" t="str">
        <f t="shared" si="5"/>
        <v/>
      </c>
      <c r="B208" s="1" t="str">
        <f t="shared" si="6"/>
        <v/>
      </c>
      <c r="C208" s="1" t="str">
        <f t="shared" si="7"/>
        <v/>
      </c>
      <c r="D208" s="1" t="str">
        <f t="shared" si="8"/>
        <v/>
      </c>
      <c r="J208" s="13">
        <f t="shared" si="4"/>
        <v>0</v>
      </c>
      <c r="K208" s="1"/>
    </row>
    <row r="209" spans="1:11">
      <c r="A209" s="1" t="str">
        <f t="shared" si="5"/>
        <v/>
      </c>
      <c r="B209" s="1" t="str">
        <f t="shared" si="6"/>
        <v/>
      </c>
      <c r="C209" s="1" t="str">
        <f t="shared" si="7"/>
        <v/>
      </c>
      <c r="D209" s="1" t="str">
        <f t="shared" si="8"/>
        <v/>
      </c>
      <c r="J209" s="13">
        <f t="shared" si="4"/>
        <v>0</v>
      </c>
      <c r="K209" s="1"/>
    </row>
    <row r="210" spans="1:11">
      <c r="A210" s="1" t="str">
        <f t="shared" si="5"/>
        <v/>
      </c>
      <c r="B210" s="1" t="str">
        <f t="shared" si="6"/>
        <v/>
      </c>
      <c r="C210" s="1" t="str">
        <f t="shared" si="7"/>
        <v/>
      </c>
      <c r="D210" s="1" t="str">
        <f t="shared" si="8"/>
        <v/>
      </c>
      <c r="J210" s="13">
        <f t="shared" si="4"/>
        <v>0</v>
      </c>
      <c r="K210" s="1"/>
    </row>
    <row r="211" spans="1:11">
      <c r="A211" s="1" t="str">
        <f t="shared" si="5"/>
        <v/>
      </c>
      <c r="B211" s="1" t="str">
        <f t="shared" si="6"/>
        <v/>
      </c>
      <c r="C211" s="1" t="str">
        <f t="shared" si="7"/>
        <v/>
      </c>
      <c r="D211" s="1" t="str">
        <f t="shared" si="8"/>
        <v/>
      </c>
      <c r="J211" s="13">
        <f t="shared" si="4"/>
        <v>0</v>
      </c>
      <c r="K211" s="1"/>
    </row>
    <row r="212" spans="1:11">
      <c r="A212" s="1" t="str">
        <f t="shared" si="5"/>
        <v/>
      </c>
      <c r="B212" s="1" t="str">
        <f t="shared" si="6"/>
        <v/>
      </c>
      <c r="C212" s="1" t="str">
        <f t="shared" si="7"/>
        <v/>
      </c>
      <c r="D212" s="1" t="str">
        <f t="shared" si="8"/>
        <v/>
      </c>
      <c r="J212" s="13">
        <f t="shared" si="4"/>
        <v>0</v>
      </c>
      <c r="K212" s="1"/>
    </row>
    <row r="213" spans="1:11">
      <c r="A213" s="1" t="str">
        <f t="shared" si="5"/>
        <v/>
      </c>
      <c r="B213" s="1" t="str">
        <f t="shared" si="6"/>
        <v/>
      </c>
      <c r="C213" s="1" t="str">
        <f t="shared" si="7"/>
        <v/>
      </c>
      <c r="D213" s="1" t="str">
        <f t="shared" si="8"/>
        <v/>
      </c>
      <c r="J213" s="13">
        <f t="shared" si="4"/>
        <v>0</v>
      </c>
      <c r="K213" s="1"/>
    </row>
    <row r="214" spans="1:11">
      <c r="A214" s="1" t="str">
        <f t="shared" si="5"/>
        <v/>
      </c>
      <c r="B214" s="1" t="str">
        <f t="shared" si="6"/>
        <v/>
      </c>
      <c r="C214" s="1" t="str">
        <f t="shared" si="7"/>
        <v/>
      </c>
      <c r="D214" s="1" t="str">
        <f t="shared" si="8"/>
        <v/>
      </c>
      <c r="K214" s="1"/>
    </row>
    <row r="215" spans="1:11">
      <c r="A215" s="1" t="str">
        <f t="shared" si="5"/>
        <v/>
      </c>
      <c r="B215" s="1" t="str">
        <f t="shared" si="6"/>
        <v/>
      </c>
      <c r="C215" s="1" t="str">
        <f t="shared" si="7"/>
        <v/>
      </c>
      <c r="D215" s="1" t="str">
        <f t="shared" si="8"/>
        <v/>
      </c>
      <c r="K215" s="1"/>
    </row>
    <row r="216" spans="1:11">
      <c r="A216" s="1" t="str">
        <f t="shared" si="5"/>
        <v/>
      </c>
      <c r="B216" s="1" t="str">
        <f t="shared" si="6"/>
        <v/>
      </c>
      <c r="C216" s="1" t="str">
        <f t="shared" si="7"/>
        <v/>
      </c>
      <c r="D216" s="1" t="str">
        <f t="shared" si="8"/>
        <v/>
      </c>
      <c r="K216" s="1"/>
    </row>
    <row r="217" spans="1:11">
      <c r="A217" s="1" t="str">
        <f t="shared" si="5"/>
        <v/>
      </c>
      <c r="B217" s="1" t="str">
        <f t="shared" si="6"/>
        <v/>
      </c>
      <c r="C217" s="1" t="str">
        <f t="shared" si="7"/>
        <v/>
      </c>
      <c r="D217" s="1" t="str">
        <f t="shared" si="8"/>
        <v/>
      </c>
      <c r="K217" s="1"/>
    </row>
    <row r="218" spans="1:11">
      <c r="A218" s="1" t="str">
        <f t="shared" si="5"/>
        <v/>
      </c>
      <c r="B218" s="1" t="str">
        <f t="shared" si="6"/>
        <v/>
      </c>
      <c r="C218" s="1" t="str">
        <f t="shared" si="7"/>
        <v/>
      </c>
      <c r="D218" s="1" t="str">
        <f t="shared" si="8"/>
        <v/>
      </c>
      <c r="K218" s="1"/>
    </row>
    <row r="219" spans="1:11">
      <c r="A219" s="1" t="str">
        <f t="shared" si="5"/>
        <v/>
      </c>
      <c r="B219" s="1" t="str">
        <f t="shared" si="6"/>
        <v/>
      </c>
      <c r="C219" s="1" t="str">
        <f t="shared" si="7"/>
        <v/>
      </c>
      <c r="D219" s="1" t="str">
        <f t="shared" si="8"/>
        <v/>
      </c>
      <c r="K219" s="1"/>
    </row>
    <row r="220" spans="1:11">
      <c r="A220" s="1" t="str">
        <f t="shared" si="5"/>
        <v/>
      </c>
      <c r="B220" s="1" t="str">
        <f t="shared" si="6"/>
        <v/>
      </c>
      <c r="C220" s="1" t="str">
        <f t="shared" si="7"/>
        <v/>
      </c>
      <c r="D220" s="1" t="str">
        <f t="shared" si="8"/>
        <v/>
      </c>
      <c r="K220" s="1"/>
    </row>
    <row r="221" spans="1:11">
      <c r="A221" s="1" t="str">
        <f t="shared" si="5"/>
        <v/>
      </c>
      <c r="B221" s="1" t="str">
        <f t="shared" si="6"/>
        <v/>
      </c>
      <c r="C221" s="1" t="str">
        <f t="shared" si="7"/>
        <v/>
      </c>
      <c r="D221" s="1" t="str">
        <f t="shared" si="8"/>
        <v/>
      </c>
      <c r="K221" s="1"/>
    </row>
    <row r="222" spans="1:11">
      <c r="A222" s="1" t="str">
        <f t="shared" si="5"/>
        <v/>
      </c>
      <c r="B222" s="1" t="str">
        <f t="shared" si="6"/>
        <v/>
      </c>
      <c r="C222" s="1" t="str">
        <f t="shared" si="7"/>
        <v/>
      </c>
      <c r="D222" s="1" t="str">
        <f t="shared" si="8"/>
        <v/>
      </c>
      <c r="K222" s="1"/>
    </row>
    <row r="223" spans="1:11">
      <c r="A223" s="1" t="str">
        <f t="shared" si="5"/>
        <v/>
      </c>
      <c r="B223" s="1" t="str">
        <f t="shared" si="6"/>
        <v/>
      </c>
      <c r="C223" s="1" t="str">
        <f t="shared" si="7"/>
        <v/>
      </c>
      <c r="D223" s="1" t="str">
        <f t="shared" si="8"/>
        <v/>
      </c>
      <c r="K223" s="1"/>
    </row>
    <row r="224" spans="1:11">
      <c r="A224" s="1" t="str">
        <f t="shared" si="5"/>
        <v/>
      </c>
      <c r="B224" s="1" t="str">
        <f t="shared" si="6"/>
        <v/>
      </c>
      <c r="C224" s="1" t="str">
        <f t="shared" si="7"/>
        <v/>
      </c>
      <c r="D224" s="1" t="str">
        <f t="shared" si="8"/>
        <v/>
      </c>
      <c r="K224" s="1"/>
    </row>
    <row r="225" spans="1:11">
      <c r="A225" s="1" t="str">
        <f t="shared" si="5"/>
        <v/>
      </c>
      <c r="B225" s="1" t="str">
        <f t="shared" si="6"/>
        <v/>
      </c>
      <c r="C225" s="1" t="str">
        <f t="shared" si="7"/>
        <v/>
      </c>
      <c r="D225" s="1" t="str">
        <f t="shared" si="8"/>
        <v/>
      </c>
      <c r="K225" s="1"/>
    </row>
    <row r="226" spans="1:11">
      <c r="A226" s="1" t="str">
        <f t="shared" si="5"/>
        <v/>
      </c>
      <c r="B226" s="1" t="str">
        <f t="shared" si="6"/>
        <v/>
      </c>
      <c r="C226" s="1" t="str">
        <f t="shared" si="7"/>
        <v/>
      </c>
      <c r="D226" s="1" t="str">
        <f t="shared" si="8"/>
        <v/>
      </c>
      <c r="K226" s="1"/>
    </row>
    <row r="227" spans="1:11">
      <c r="A227" s="1" t="str">
        <f t="shared" si="5"/>
        <v/>
      </c>
      <c r="B227" s="1" t="str">
        <f t="shared" si="6"/>
        <v/>
      </c>
      <c r="C227" s="1" t="str">
        <f t="shared" si="7"/>
        <v/>
      </c>
      <c r="D227" s="1" t="str">
        <f t="shared" si="8"/>
        <v/>
      </c>
      <c r="K227" s="1"/>
    </row>
    <row r="228" spans="1:11">
      <c r="A228" s="1" t="str">
        <f t="shared" si="5"/>
        <v/>
      </c>
      <c r="B228" s="1" t="str">
        <f t="shared" si="6"/>
        <v/>
      </c>
      <c r="C228" s="1" t="str">
        <f t="shared" si="7"/>
        <v/>
      </c>
      <c r="D228" s="1" t="str">
        <f t="shared" si="8"/>
        <v/>
      </c>
      <c r="K228" s="1"/>
    </row>
    <row r="229" spans="1:11">
      <c r="A229" s="1" t="str">
        <f t="shared" si="5"/>
        <v/>
      </c>
      <c r="B229" s="1" t="str">
        <f t="shared" si="6"/>
        <v/>
      </c>
      <c r="C229" s="1" t="str">
        <f t="shared" si="7"/>
        <v/>
      </c>
      <c r="D229" s="1" t="str">
        <f t="shared" si="8"/>
        <v/>
      </c>
      <c r="K229" s="1"/>
    </row>
    <row r="230" spans="1:11">
      <c r="A230" s="1" t="str">
        <f t="shared" si="5"/>
        <v/>
      </c>
      <c r="B230" s="1" t="str">
        <f t="shared" si="6"/>
        <v/>
      </c>
      <c r="C230" s="1" t="str">
        <f t="shared" si="7"/>
        <v/>
      </c>
      <c r="D230" s="1" t="str">
        <f t="shared" si="8"/>
        <v/>
      </c>
      <c r="K230" s="1"/>
    </row>
    <row r="231" spans="1:11">
      <c r="A231" s="1" t="str">
        <f t="shared" si="5"/>
        <v/>
      </c>
      <c r="B231" s="1" t="str">
        <f t="shared" si="6"/>
        <v/>
      </c>
      <c r="C231" s="1" t="str">
        <f t="shared" si="7"/>
        <v/>
      </c>
      <c r="D231" s="1" t="str">
        <f t="shared" si="8"/>
        <v/>
      </c>
      <c r="K231" s="1"/>
    </row>
    <row r="232" spans="1:11">
      <c r="A232" s="1" t="str">
        <f t="shared" si="5"/>
        <v/>
      </c>
      <c r="B232" s="1" t="str">
        <f t="shared" si="6"/>
        <v/>
      </c>
      <c r="C232" s="1" t="str">
        <f t="shared" si="7"/>
        <v/>
      </c>
      <c r="D232" s="1" t="str">
        <f t="shared" si="8"/>
        <v/>
      </c>
      <c r="K232" s="1"/>
    </row>
    <row r="233" spans="1:11">
      <c r="A233" s="1" t="str">
        <f t="shared" si="5"/>
        <v/>
      </c>
      <c r="B233" s="1" t="str">
        <f t="shared" si="6"/>
        <v/>
      </c>
      <c r="C233" s="1" t="str">
        <f t="shared" si="7"/>
        <v/>
      </c>
      <c r="D233" s="1" t="str">
        <f t="shared" si="8"/>
        <v/>
      </c>
      <c r="K233" s="1"/>
    </row>
    <row r="234" spans="1:11">
      <c r="A234" s="1" t="str">
        <f t="shared" si="5"/>
        <v/>
      </c>
      <c r="B234" s="1" t="str">
        <f t="shared" si="6"/>
        <v/>
      </c>
      <c r="C234" s="1" t="str">
        <f t="shared" si="7"/>
        <v/>
      </c>
      <c r="D234" s="1" t="str">
        <f t="shared" si="8"/>
        <v/>
      </c>
      <c r="K234" s="1"/>
    </row>
    <row r="235" spans="1:11">
      <c r="A235" s="1" t="str">
        <f t="shared" si="5"/>
        <v/>
      </c>
      <c r="B235" s="1" t="str">
        <f t="shared" si="6"/>
        <v/>
      </c>
      <c r="C235" s="1" t="str">
        <f t="shared" si="7"/>
        <v/>
      </c>
      <c r="D235" s="1" t="str">
        <f t="shared" si="8"/>
        <v/>
      </c>
      <c r="K235" s="1"/>
    </row>
    <row r="236" spans="1:11">
      <c r="A236" s="1" t="str">
        <f t="shared" si="5"/>
        <v/>
      </c>
      <c r="B236" s="1" t="str">
        <f t="shared" si="6"/>
        <v/>
      </c>
      <c r="C236" s="1" t="str">
        <f t="shared" si="7"/>
        <v/>
      </c>
      <c r="D236" s="1" t="str">
        <f t="shared" si="8"/>
        <v/>
      </c>
      <c r="K236" s="1"/>
    </row>
    <row r="237" spans="1:11">
      <c r="K237" s="1"/>
    </row>
    <row r="238" spans="1:11">
      <c r="K238" s="1"/>
    </row>
    <row r="239" spans="1:11">
      <c r="K239" s="1"/>
    </row>
    <row r="240" spans="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</sheetData>
  <autoFilter ref="K1:K1011" xr:uid="{00000000-0009-0000-0000-000009000000}"/>
  <dataValidations count="1">
    <dataValidation type="list" allowBlank="1" showErrorMessage="1" sqref="K1:K158 K162:K1008" xr:uid="{00000000-0002-0000-0900-000000000000}">
      <formula1>"Assurances/Mutuelle,Bricolage/Travaux,Catégorie,Charges,Courses,Divers,Internet/Téléphone,Logement,Loisirs,Medical,Scolarité,Soins,Vêtements,Voiture/Déplacement,Cadeau"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1008"/>
  <sheetViews>
    <sheetView workbookViewId="0"/>
  </sheetViews>
  <sheetFormatPr defaultColWidth="12.6640625" defaultRowHeight="15.75" customHeight="1"/>
  <cols>
    <col min="1" max="1" width="22.88671875" customWidth="1"/>
    <col min="2" max="2" width="31.21875" customWidth="1"/>
    <col min="5" max="5" width="24.109375" customWidth="1"/>
    <col min="7" max="7" width="28.77734375" customWidth="1"/>
    <col min="9" max="9" width="17.44140625" customWidth="1"/>
    <col min="11" max="11" width="29.21875" customWidth="1"/>
  </cols>
  <sheetData>
    <row r="1" spans="1:29">
      <c r="A1" s="1"/>
      <c r="B1" s="1" t="s">
        <v>27</v>
      </c>
      <c r="C1" s="1"/>
      <c r="D1" s="1"/>
      <c r="E1" s="1" t="s">
        <v>28</v>
      </c>
      <c r="K1" s="1" t="s">
        <v>29</v>
      </c>
    </row>
    <row r="2" spans="1:29">
      <c r="K2" s="1"/>
    </row>
    <row r="3" spans="1:29">
      <c r="A3" s="1"/>
      <c r="B3" s="1" t="s">
        <v>30</v>
      </c>
      <c r="C3" s="1">
        <v>5258.61</v>
      </c>
      <c r="E3" s="1" t="s">
        <v>31</v>
      </c>
      <c r="F3" s="1">
        <v>669.7</v>
      </c>
      <c r="G3" s="1" t="s">
        <v>32</v>
      </c>
      <c r="H3" s="1">
        <f t="shared" ref="H3:H6" si="0">IF(G3="x",F3,0)</f>
        <v>669.7</v>
      </c>
      <c r="K3" s="1" t="s">
        <v>25</v>
      </c>
    </row>
    <row r="4" spans="1:29">
      <c r="A4" s="1"/>
      <c r="B4" s="1" t="s">
        <v>33</v>
      </c>
      <c r="C4" s="1">
        <v>1828.73</v>
      </c>
      <c r="E4" s="1" t="s">
        <v>34</v>
      </c>
      <c r="H4" s="1">
        <f t="shared" si="0"/>
        <v>0</v>
      </c>
      <c r="K4" s="1" t="s">
        <v>26</v>
      </c>
    </row>
    <row r="5" spans="1:29">
      <c r="A5" s="1"/>
      <c r="B5" s="1" t="s">
        <v>35</v>
      </c>
      <c r="C5" s="1">
        <v>113.3</v>
      </c>
      <c r="E5" s="1" t="s">
        <v>36</v>
      </c>
      <c r="F5" s="1">
        <v>70</v>
      </c>
      <c r="G5" s="1" t="s">
        <v>32</v>
      </c>
      <c r="H5" s="1">
        <f t="shared" si="0"/>
        <v>70</v>
      </c>
      <c r="K5" s="1" t="s">
        <v>26</v>
      </c>
    </row>
    <row r="6" spans="1:29">
      <c r="E6" s="11" t="s">
        <v>37</v>
      </c>
      <c r="F6" s="10">
        <v>164.99</v>
      </c>
      <c r="G6" s="11" t="s">
        <v>32</v>
      </c>
      <c r="H6" s="1">
        <f t="shared" si="0"/>
        <v>164.99</v>
      </c>
      <c r="K6" s="1" t="s">
        <v>26</v>
      </c>
    </row>
    <row r="7" spans="1:29">
      <c r="A7" s="11"/>
      <c r="D7" s="11"/>
      <c r="E7" s="1" t="s">
        <v>38</v>
      </c>
      <c r="F7" s="1">
        <v>995.15</v>
      </c>
      <c r="G7" s="11" t="s">
        <v>32</v>
      </c>
      <c r="H7" s="10">
        <f>IF(G7="x",F7,0)</f>
        <v>995.15</v>
      </c>
      <c r="I7" s="11"/>
      <c r="J7" s="11"/>
      <c r="K7" s="1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E8" s="1" t="s">
        <v>40</v>
      </c>
      <c r="F8" s="1">
        <v>883.42</v>
      </c>
      <c r="G8" s="1" t="s">
        <v>32</v>
      </c>
      <c r="H8" s="1">
        <f t="shared" ref="H8:H21" si="1">IF(G8="x",F8,0)</f>
        <v>883.42</v>
      </c>
      <c r="K8" s="1" t="s">
        <v>25</v>
      </c>
    </row>
    <row r="9" spans="1:29">
      <c r="B9" s="11" t="s">
        <v>315</v>
      </c>
      <c r="C9" s="11">
        <v>93.15</v>
      </c>
      <c r="E9" s="1" t="s">
        <v>42</v>
      </c>
      <c r="F9" s="1">
        <v>11.46</v>
      </c>
      <c r="G9" s="1" t="s">
        <v>32</v>
      </c>
      <c r="H9" s="1">
        <f t="shared" si="1"/>
        <v>11.46</v>
      </c>
      <c r="K9" s="1" t="s">
        <v>25</v>
      </c>
    </row>
    <row r="10" spans="1:29">
      <c r="B10" s="1" t="s">
        <v>51</v>
      </c>
      <c r="C10" s="1">
        <v>10.5</v>
      </c>
      <c r="E10" s="1" t="s">
        <v>42</v>
      </c>
      <c r="F10" s="1">
        <v>32.57</v>
      </c>
      <c r="G10" s="1" t="s">
        <v>32</v>
      </c>
      <c r="H10" s="1">
        <f t="shared" si="1"/>
        <v>32.57</v>
      </c>
      <c r="K10" s="1" t="s">
        <v>25</v>
      </c>
    </row>
    <row r="11" spans="1:29">
      <c r="B11" s="1" t="s">
        <v>100</v>
      </c>
      <c r="C11" s="1">
        <v>599.16999999999996</v>
      </c>
      <c r="E11" s="1" t="s">
        <v>42</v>
      </c>
      <c r="F11" s="1">
        <v>79.98</v>
      </c>
      <c r="G11" s="1" t="s">
        <v>32</v>
      </c>
      <c r="H11" s="1">
        <f t="shared" si="1"/>
        <v>79.98</v>
      </c>
      <c r="K11" s="1" t="s">
        <v>25</v>
      </c>
    </row>
    <row r="12" spans="1:29">
      <c r="B12" s="1" t="s">
        <v>316</v>
      </c>
      <c r="C12" s="1">
        <v>26.99</v>
      </c>
      <c r="E12" s="1" t="s">
        <v>42</v>
      </c>
      <c r="F12" s="1">
        <v>28.49</v>
      </c>
      <c r="G12" s="1" t="s">
        <v>32</v>
      </c>
      <c r="H12" s="1">
        <f t="shared" si="1"/>
        <v>28.49</v>
      </c>
      <c r="K12" s="1" t="s">
        <v>25</v>
      </c>
    </row>
    <row r="13" spans="1:29">
      <c r="B13" s="1" t="s">
        <v>189</v>
      </c>
      <c r="C13" s="1">
        <v>4</v>
      </c>
      <c r="E13" s="1" t="s">
        <v>43</v>
      </c>
      <c r="F13" s="1">
        <v>6.99</v>
      </c>
      <c r="G13" s="1" t="s">
        <v>32</v>
      </c>
      <c r="H13" s="1">
        <f t="shared" si="1"/>
        <v>6.99</v>
      </c>
      <c r="K13" s="1" t="s">
        <v>44</v>
      </c>
    </row>
    <row r="14" spans="1:29">
      <c r="B14" s="1" t="s">
        <v>100</v>
      </c>
      <c r="C14" s="1">
        <v>450</v>
      </c>
      <c r="E14" s="1" t="s">
        <v>45</v>
      </c>
      <c r="F14" s="1">
        <v>65</v>
      </c>
      <c r="G14" s="1" t="s">
        <v>32</v>
      </c>
      <c r="H14" s="1">
        <f t="shared" si="1"/>
        <v>65</v>
      </c>
      <c r="K14" s="1" t="s">
        <v>26</v>
      </c>
    </row>
    <row r="15" spans="1:29">
      <c r="B15" s="1" t="s">
        <v>317</v>
      </c>
      <c r="C15" s="1">
        <v>4.2</v>
      </c>
      <c r="E15" s="1" t="s">
        <v>46</v>
      </c>
      <c r="F15" s="1">
        <v>208</v>
      </c>
      <c r="G15" s="1" t="s">
        <v>32</v>
      </c>
      <c r="H15" s="1">
        <f t="shared" si="1"/>
        <v>208</v>
      </c>
      <c r="K15" s="1" t="s">
        <v>26</v>
      </c>
    </row>
    <row r="16" spans="1:29">
      <c r="B16" s="1" t="s">
        <v>318</v>
      </c>
      <c r="C16" s="1">
        <v>15.67</v>
      </c>
      <c r="E16" s="1" t="s">
        <v>47</v>
      </c>
      <c r="F16" s="1">
        <v>24.99</v>
      </c>
      <c r="G16" s="1" t="s">
        <v>32</v>
      </c>
      <c r="H16" s="1">
        <f t="shared" si="1"/>
        <v>24.99</v>
      </c>
      <c r="K16" s="1" t="s">
        <v>44</v>
      </c>
    </row>
    <row r="17" spans="1:29">
      <c r="B17" s="1" t="s">
        <v>100</v>
      </c>
      <c r="C17" s="1">
        <v>178.72</v>
      </c>
      <c r="E17" s="1" t="s">
        <v>164</v>
      </c>
      <c r="F17" s="1">
        <v>14.99</v>
      </c>
      <c r="G17" s="1" t="s">
        <v>32</v>
      </c>
      <c r="H17" s="1">
        <f t="shared" si="1"/>
        <v>14.99</v>
      </c>
      <c r="K17" s="1" t="s">
        <v>44</v>
      </c>
    </row>
    <row r="18" spans="1:29">
      <c r="E18" s="1" t="s">
        <v>48</v>
      </c>
      <c r="F18" s="1">
        <v>14.99</v>
      </c>
      <c r="G18" s="1" t="s">
        <v>32</v>
      </c>
      <c r="H18" s="1">
        <f t="shared" si="1"/>
        <v>14.99</v>
      </c>
      <c r="K18" s="1" t="s">
        <v>44</v>
      </c>
    </row>
    <row r="19" spans="1:29">
      <c r="E19" s="1" t="s">
        <v>49</v>
      </c>
      <c r="F19" s="1">
        <v>14.99</v>
      </c>
      <c r="G19" s="1" t="s">
        <v>32</v>
      </c>
      <c r="H19" s="1">
        <f t="shared" si="1"/>
        <v>14.99</v>
      </c>
      <c r="K19" s="1" t="s">
        <v>44</v>
      </c>
    </row>
    <row r="20" spans="1:29">
      <c r="E20" s="1" t="s">
        <v>50</v>
      </c>
      <c r="F20" s="1">
        <v>10.99</v>
      </c>
      <c r="G20" s="1" t="s">
        <v>32</v>
      </c>
      <c r="H20" s="1">
        <f t="shared" si="1"/>
        <v>10.99</v>
      </c>
      <c r="K20" s="1" t="s">
        <v>44</v>
      </c>
    </row>
    <row r="21" spans="1:29">
      <c r="E21" s="1" t="s">
        <v>51</v>
      </c>
      <c r="F21" s="1">
        <v>104.98</v>
      </c>
      <c r="G21" s="1" t="s">
        <v>32</v>
      </c>
      <c r="H21" s="1">
        <f t="shared" si="1"/>
        <v>104.98</v>
      </c>
      <c r="K21" s="1" t="s">
        <v>52</v>
      </c>
    </row>
    <row r="22" spans="1:29">
      <c r="K22" s="1"/>
    </row>
    <row r="23" spans="1:29">
      <c r="E23" s="1" t="s">
        <v>305</v>
      </c>
      <c r="F23" s="1">
        <v>60.09</v>
      </c>
      <c r="G23" s="1" t="s">
        <v>32</v>
      </c>
      <c r="H23" s="1">
        <f t="shared" ref="H23:H29" si="2">IF(G23="x",F23,0)</f>
        <v>60.09</v>
      </c>
      <c r="K23" s="1" t="s">
        <v>52</v>
      </c>
    </row>
    <row r="24" spans="1:29">
      <c r="E24" s="1" t="s">
        <v>105</v>
      </c>
      <c r="F24" s="1">
        <v>331.65</v>
      </c>
      <c r="G24" s="1" t="s">
        <v>32</v>
      </c>
      <c r="H24" s="1">
        <f t="shared" si="2"/>
        <v>331.65</v>
      </c>
      <c r="K24" s="1" t="s">
        <v>55</v>
      </c>
    </row>
    <row r="25" spans="1:29">
      <c r="E25" s="1" t="s">
        <v>266</v>
      </c>
      <c r="F25" s="1">
        <v>133.69999999999999</v>
      </c>
      <c r="G25" s="1" t="s">
        <v>32</v>
      </c>
      <c r="H25" s="1">
        <f t="shared" si="2"/>
        <v>133.69999999999999</v>
      </c>
      <c r="K25" s="1" t="s">
        <v>52</v>
      </c>
    </row>
    <row r="26" spans="1:29">
      <c r="E26" s="1" t="s">
        <v>57</v>
      </c>
      <c r="F26" s="1">
        <v>29.97</v>
      </c>
      <c r="G26" s="1" t="s">
        <v>32</v>
      </c>
      <c r="H26" s="1">
        <f t="shared" si="2"/>
        <v>29.97</v>
      </c>
      <c r="K26" s="1" t="s">
        <v>52</v>
      </c>
    </row>
    <row r="27" spans="1:29">
      <c r="E27" s="1" t="s">
        <v>58</v>
      </c>
      <c r="F27" s="1">
        <v>20</v>
      </c>
      <c r="G27" s="1" t="s">
        <v>32</v>
      </c>
      <c r="H27" s="1">
        <f t="shared" si="2"/>
        <v>20</v>
      </c>
      <c r="K27" s="1" t="s">
        <v>59</v>
      </c>
    </row>
    <row r="28" spans="1:29">
      <c r="E28" s="1" t="s">
        <v>60</v>
      </c>
      <c r="F28" s="1">
        <v>21.99</v>
      </c>
      <c r="G28" s="1" t="s">
        <v>32</v>
      </c>
      <c r="H28" s="1">
        <f t="shared" si="2"/>
        <v>21.99</v>
      </c>
      <c r="K28" s="1" t="s">
        <v>44</v>
      </c>
    </row>
    <row r="29" spans="1:29">
      <c r="H29" s="1">
        <f t="shared" si="2"/>
        <v>0</v>
      </c>
      <c r="K29" s="1" t="s">
        <v>55</v>
      </c>
    </row>
    <row r="30" spans="1:29">
      <c r="E30" s="1" t="s">
        <v>61</v>
      </c>
      <c r="F30" s="1">
        <v>21.4</v>
      </c>
      <c r="G30" s="11" t="s">
        <v>32</v>
      </c>
      <c r="H30" s="10">
        <f>IF(G30="x",F30,0)</f>
        <v>21.4</v>
      </c>
      <c r="K30" s="1" t="s">
        <v>55</v>
      </c>
    </row>
    <row r="31" spans="1:29">
      <c r="E31" s="11" t="s">
        <v>62</v>
      </c>
      <c r="F31" s="10">
        <v>0.99</v>
      </c>
      <c r="G31" s="1" t="s">
        <v>32</v>
      </c>
      <c r="H31" s="1">
        <f t="shared" ref="H31:H37" si="3">IF(G31="x",F31,0)</f>
        <v>0.99</v>
      </c>
      <c r="K31" s="1" t="s">
        <v>44</v>
      </c>
    </row>
    <row r="32" spans="1:29">
      <c r="A32" s="11"/>
      <c r="B32" s="11"/>
      <c r="C32" s="11"/>
      <c r="D32" s="11"/>
      <c r="E32" s="1" t="s">
        <v>62</v>
      </c>
      <c r="F32" s="1">
        <v>16.989999999999998</v>
      </c>
      <c r="G32" s="1" t="s">
        <v>32</v>
      </c>
      <c r="H32" s="1">
        <f t="shared" si="3"/>
        <v>16.989999999999998</v>
      </c>
      <c r="I32" s="11"/>
      <c r="J32" s="11"/>
      <c r="K32" s="1" t="s">
        <v>44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A33" s="11"/>
      <c r="B33" s="11"/>
      <c r="C33" s="11"/>
      <c r="D33" s="11"/>
      <c r="E33" s="1" t="s">
        <v>106</v>
      </c>
      <c r="F33" s="1">
        <v>178.3</v>
      </c>
      <c r="G33" s="1" t="s">
        <v>32</v>
      </c>
      <c r="H33" s="1">
        <f t="shared" si="3"/>
        <v>178.3</v>
      </c>
      <c r="I33" s="11"/>
      <c r="J33" s="11"/>
      <c r="K33" s="1" t="s">
        <v>64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E34" s="1" t="s">
        <v>65</v>
      </c>
      <c r="F34" s="1">
        <v>102</v>
      </c>
      <c r="G34" s="1" t="s">
        <v>32</v>
      </c>
      <c r="H34" s="1">
        <f t="shared" si="3"/>
        <v>102</v>
      </c>
      <c r="K34" s="1" t="s">
        <v>25</v>
      </c>
    </row>
    <row r="35" spans="1:29">
      <c r="A35" s="1"/>
      <c r="E35" s="1" t="s">
        <v>66</v>
      </c>
      <c r="F35" s="1">
        <v>104.6</v>
      </c>
      <c r="G35" s="1" t="s">
        <v>32</v>
      </c>
      <c r="H35" s="1">
        <f t="shared" si="3"/>
        <v>104.6</v>
      </c>
      <c r="K35" s="1" t="s">
        <v>25</v>
      </c>
    </row>
    <row r="36" spans="1:29">
      <c r="A36" s="1"/>
      <c r="C36" s="1"/>
      <c r="E36" s="1" t="s">
        <v>67</v>
      </c>
      <c r="F36" s="1">
        <v>19.03</v>
      </c>
      <c r="G36" s="1" t="s">
        <v>32</v>
      </c>
      <c r="H36" s="1">
        <f t="shared" si="3"/>
        <v>19.03</v>
      </c>
      <c r="K36" s="1"/>
    </row>
    <row r="37" spans="1:29">
      <c r="A37" s="1"/>
      <c r="C37" s="1"/>
      <c r="E37" s="1" t="s">
        <v>68</v>
      </c>
      <c r="F37" s="1">
        <v>33.89</v>
      </c>
      <c r="G37" s="1" t="s">
        <v>32</v>
      </c>
      <c r="H37" s="1">
        <f t="shared" si="3"/>
        <v>33.89</v>
      </c>
      <c r="K37" s="1"/>
    </row>
    <row r="38" spans="1:29">
      <c r="A38" s="1"/>
      <c r="C38" s="1"/>
      <c r="K38" s="1"/>
    </row>
    <row r="39" spans="1:29">
      <c r="A39" s="1" t="s">
        <v>69</v>
      </c>
      <c r="C39" s="1" t="e">
        <f>'Fevrier 2026'!D43</f>
        <v>#REF!</v>
      </c>
      <c r="K39" s="1"/>
    </row>
    <row r="40" spans="1:29">
      <c r="A40" s="1" t="s">
        <v>70</v>
      </c>
      <c r="C40" s="1">
        <f>SUM(C2:C6)</f>
        <v>7200.64</v>
      </c>
      <c r="E40" s="1" t="s">
        <v>71</v>
      </c>
      <c r="F40" s="1">
        <f>SUM(F2:F38)</f>
        <v>4476.2799999999988</v>
      </c>
      <c r="G40" s="1" t="s">
        <v>72</v>
      </c>
      <c r="H40" s="1">
        <f>SUM(H2:H38)</f>
        <v>4476.2799999999988</v>
      </c>
      <c r="I40" s="1" t="s">
        <v>73</v>
      </c>
      <c r="K40" s="1"/>
    </row>
    <row r="41" spans="1:29">
      <c r="A41" s="1" t="s">
        <v>74</v>
      </c>
      <c r="C41" s="1">
        <f>SUM(C8:C35)</f>
        <v>1382.4</v>
      </c>
      <c r="E41" s="1" t="s">
        <v>75</v>
      </c>
      <c r="F41" s="1" t="e">
        <f>C42-F40</f>
        <v>#REF!</v>
      </c>
      <c r="G41" s="1" t="s">
        <v>76</v>
      </c>
      <c r="H41" s="1" t="e">
        <f>C39+C40+C41-H40-F42</f>
        <v>#REF!</v>
      </c>
      <c r="K41" s="1"/>
    </row>
    <row r="42" spans="1:29">
      <c r="A42" s="1" t="s">
        <v>77</v>
      </c>
      <c r="C42" s="1" t="e">
        <f>SUM(C39:C41)</f>
        <v>#REF!</v>
      </c>
      <c r="E42" s="1" t="s">
        <v>78</v>
      </c>
      <c r="F42" s="1">
        <f>SUM(J44:J246)</f>
        <v>3943.44</v>
      </c>
      <c r="K42" s="1"/>
    </row>
    <row r="43" spans="1:29" ht="15.75" customHeight="1">
      <c r="A43" s="12" t="s">
        <v>79</v>
      </c>
      <c r="B43" s="12" t="e">
        <f>$C$42-$F$40-$F$42</f>
        <v>#REF!</v>
      </c>
      <c r="C43" s="1" t="s">
        <v>80</v>
      </c>
      <c r="D43" s="1" t="e">
        <f>$C$42-$H$40-$F$42</f>
        <v>#REF!</v>
      </c>
      <c r="K43" s="1"/>
    </row>
    <row r="44" spans="1:29">
      <c r="A44" s="1" t="str">
        <f>IF(AND(NOT(ISBLANK(#REF!)),ISBLANK(G44)),"Reste prévu","")</f>
        <v/>
      </c>
      <c r="B44" s="1" t="str">
        <f>IF(AND(NOT(ISBLANK(#REF!)),ISBLANK($G44)),$C$42-$F$40-$F$42,"")</f>
        <v/>
      </c>
      <c r="C44" s="1" t="str">
        <f>IF(AND(NOT(ISBLANK(#REF!)),ISBLANK($G44)),"Reste réel","")</f>
        <v/>
      </c>
      <c r="D44" s="1" t="str">
        <f>IF(AND(NOT(ISBLANK(#REF!)),ISBLANK($G44)),$C$42-$H$40-$F$42,"")</f>
        <v/>
      </c>
      <c r="G44" s="1" t="s">
        <v>206</v>
      </c>
      <c r="H44" s="1">
        <v>11.5</v>
      </c>
      <c r="I44" s="1" t="s">
        <v>32</v>
      </c>
      <c r="J44" s="13">
        <f t="shared" ref="J44:J213" si="4">IF(I44="x",H44,0)</f>
        <v>11.5</v>
      </c>
      <c r="K44" s="1" t="s">
        <v>98</v>
      </c>
    </row>
    <row r="45" spans="1:29">
      <c r="A45" s="1" t="str">
        <f t="shared" ref="A45:A236" si="5">IF(AND(NOT(ISBLANK(G44)),ISBLANK(G45)),"Reste prévu","")</f>
        <v/>
      </c>
      <c r="B45" s="1" t="str">
        <f t="shared" ref="B45:B236" si="6">IF(AND(NOT(ISBLANK($G44)),ISBLANK($G45)),$C$42-$F$40-$F$42,"")</f>
        <v/>
      </c>
      <c r="C45" s="1" t="str">
        <f t="shared" ref="C45:C236" si="7">IF(AND(NOT(ISBLANK($G44)),ISBLANK($G45)),"Reste réel","")</f>
        <v/>
      </c>
      <c r="D45" s="1" t="str">
        <f t="shared" ref="D45:D236" si="8">IF(AND(NOT(ISBLANK($G44)),ISBLANK($G45)),$C$42-$H$40-$F$42,"")</f>
        <v/>
      </c>
      <c r="G45" s="1" t="s">
        <v>333</v>
      </c>
      <c r="H45" s="1">
        <v>21.02</v>
      </c>
      <c r="I45" s="1" t="s">
        <v>32</v>
      </c>
      <c r="J45" s="13">
        <f t="shared" si="4"/>
        <v>21.02</v>
      </c>
      <c r="K45" s="1" t="s">
        <v>24</v>
      </c>
    </row>
    <row r="46" spans="1:29">
      <c r="A46" s="1" t="str">
        <f t="shared" si="5"/>
        <v/>
      </c>
      <c r="B46" s="1" t="str">
        <f t="shared" si="6"/>
        <v/>
      </c>
      <c r="C46" s="1" t="str">
        <f t="shared" si="7"/>
        <v/>
      </c>
      <c r="D46" s="1" t="str">
        <f t="shared" si="8"/>
        <v/>
      </c>
      <c r="G46" s="1" t="s">
        <v>87</v>
      </c>
      <c r="H46" s="1">
        <v>205.56</v>
      </c>
      <c r="I46" s="1" t="s">
        <v>32</v>
      </c>
      <c r="J46" s="13">
        <f t="shared" si="4"/>
        <v>205.56</v>
      </c>
      <c r="K46" s="1" t="s">
        <v>24</v>
      </c>
    </row>
    <row r="47" spans="1:29">
      <c r="A47" s="1" t="str">
        <f t="shared" si="5"/>
        <v/>
      </c>
      <c r="B47" s="1" t="str">
        <f t="shared" si="6"/>
        <v/>
      </c>
      <c r="C47" s="1" t="str">
        <f t="shared" si="7"/>
        <v/>
      </c>
      <c r="D47" s="1" t="str">
        <f t="shared" si="8"/>
        <v/>
      </c>
      <c r="G47" s="1" t="s">
        <v>112</v>
      </c>
      <c r="H47" s="1">
        <v>209.7</v>
      </c>
      <c r="I47" s="1" t="s">
        <v>32</v>
      </c>
      <c r="J47" s="13">
        <f t="shared" si="4"/>
        <v>209.7</v>
      </c>
      <c r="K47" s="1" t="s">
        <v>89</v>
      </c>
    </row>
    <row r="48" spans="1:29">
      <c r="A48" s="1" t="str">
        <f t="shared" si="5"/>
        <v/>
      </c>
      <c r="B48" s="1" t="str">
        <f t="shared" si="6"/>
        <v/>
      </c>
      <c r="C48" s="1" t="str">
        <f t="shared" si="7"/>
        <v/>
      </c>
      <c r="D48" s="1" t="str">
        <f t="shared" si="8"/>
        <v/>
      </c>
      <c r="G48" s="1" t="s">
        <v>84</v>
      </c>
      <c r="H48" s="1">
        <v>28.65</v>
      </c>
      <c r="I48" s="1" t="s">
        <v>32</v>
      </c>
      <c r="J48" s="13">
        <f t="shared" si="4"/>
        <v>28.65</v>
      </c>
      <c r="K48" s="1" t="s">
        <v>85</v>
      </c>
    </row>
    <row r="49" spans="1:11">
      <c r="A49" s="1" t="str">
        <f t="shared" si="5"/>
        <v/>
      </c>
      <c r="B49" s="1" t="str">
        <f t="shared" si="6"/>
        <v/>
      </c>
      <c r="C49" s="1" t="str">
        <f t="shared" si="7"/>
        <v/>
      </c>
      <c r="D49" s="1" t="str">
        <f t="shared" si="8"/>
        <v/>
      </c>
      <c r="G49" s="1" t="s">
        <v>126</v>
      </c>
      <c r="H49" s="1">
        <v>9</v>
      </c>
      <c r="I49" s="1" t="s">
        <v>32</v>
      </c>
      <c r="J49" s="13">
        <f t="shared" si="4"/>
        <v>9</v>
      </c>
      <c r="K49" s="1" t="s">
        <v>55</v>
      </c>
    </row>
    <row r="50" spans="1:11">
      <c r="A50" s="1" t="str">
        <f t="shared" si="5"/>
        <v/>
      </c>
      <c r="B50" s="1" t="str">
        <f t="shared" si="6"/>
        <v/>
      </c>
      <c r="C50" s="1" t="str">
        <f t="shared" si="7"/>
        <v/>
      </c>
      <c r="D50" s="1" t="str">
        <f t="shared" si="8"/>
        <v/>
      </c>
      <c r="G50" s="1" t="s">
        <v>113</v>
      </c>
      <c r="H50" s="1">
        <v>115.4</v>
      </c>
      <c r="I50" s="1" t="s">
        <v>32</v>
      </c>
      <c r="J50" s="13">
        <f t="shared" si="4"/>
        <v>115.4</v>
      </c>
      <c r="K50" s="1" t="s">
        <v>55</v>
      </c>
    </row>
    <row r="51" spans="1:11">
      <c r="A51" s="1" t="str">
        <f t="shared" si="5"/>
        <v/>
      </c>
      <c r="B51" s="1" t="str">
        <f t="shared" si="6"/>
        <v/>
      </c>
      <c r="C51" s="1" t="str">
        <f t="shared" si="7"/>
        <v/>
      </c>
      <c r="D51" s="1" t="str">
        <f t="shared" si="8"/>
        <v/>
      </c>
      <c r="G51" s="1" t="s">
        <v>335</v>
      </c>
      <c r="H51" s="1">
        <v>105.9</v>
      </c>
      <c r="I51" s="1" t="s">
        <v>32</v>
      </c>
      <c r="J51" s="13">
        <f t="shared" si="4"/>
        <v>105.9</v>
      </c>
      <c r="K51" s="1" t="s">
        <v>89</v>
      </c>
    </row>
    <row r="52" spans="1:11">
      <c r="A52" s="1" t="str">
        <f t="shared" si="5"/>
        <v/>
      </c>
      <c r="B52" s="1" t="str">
        <f t="shared" si="6"/>
        <v/>
      </c>
      <c r="C52" s="1" t="str">
        <f t="shared" si="7"/>
        <v/>
      </c>
      <c r="D52" s="1" t="str">
        <f t="shared" si="8"/>
        <v/>
      </c>
      <c r="G52" s="1" t="s">
        <v>87</v>
      </c>
      <c r="H52" s="1">
        <v>5.18</v>
      </c>
      <c r="I52" s="1" t="s">
        <v>32</v>
      </c>
      <c r="J52" s="13">
        <f t="shared" si="4"/>
        <v>5.18</v>
      </c>
      <c r="K52" s="1" t="s">
        <v>24</v>
      </c>
    </row>
    <row r="53" spans="1:11">
      <c r="A53" s="1" t="str">
        <f t="shared" si="5"/>
        <v/>
      </c>
      <c r="B53" s="1" t="str">
        <f t="shared" si="6"/>
        <v/>
      </c>
      <c r="C53" s="1" t="str">
        <f t="shared" si="7"/>
        <v/>
      </c>
      <c r="D53" s="1" t="str">
        <f t="shared" si="8"/>
        <v/>
      </c>
      <c r="G53" s="1" t="s">
        <v>126</v>
      </c>
      <c r="H53" s="1">
        <v>9</v>
      </c>
      <c r="I53" s="1" t="s">
        <v>32</v>
      </c>
      <c r="J53" s="13">
        <f t="shared" si="4"/>
        <v>9</v>
      </c>
      <c r="K53" s="1" t="s">
        <v>55</v>
      </c>
    </row>
    <row r="54" spans="1:11">
      <c r="A54" s="1" t="str">
        <f t="shared" si="5"/>
        <v/>
      </c>
      <c r="B54" s="1" t="str">
        <f t="shared" si="6"/>
        <v/>
      </c>
      <c r="C54" s="1" t="str">
        <f t="shared" si="7"/>
        <v/>
      </c>
      <c r="D54" s="1" t="str">
        <f t="shared" si="8"/>
        <v/>
      </c>
      <c r="G54" s="1" t="s">
        <v>336</v>
      </c>
      <c r="H54" s="1">
        <v>14</v>
      </c>
      <c r="I54" s="1" t="s">
        <v>32</v>
      </c>
      <c r="J54" s="13">
        <f t="shared" si="4"/>
        <v>14</v>
      </c>
      <c r="K54" s="1" t="s">
        <v>55</v>
      </c>
    </row>
    <row r="55" spans="1:11">
      <c r="A55" s="1" t="str">
        <f t="shared" si="5"/>
        <v/>
      </c>
      <c r="B55" s="1" t="str">
        <f t="shared" si="6"/>
        <v/>
      </c>
      <c r="C55" s="1" t="str">
        <f t="shared" si="7"/>
        <v/>
      </c>
      <c r="D55" s="1" t="str">
        <f t="shared" si="8"/>
        <v/>
      </c>
      <c r="G55" s="1" t="s">
        <v>84</v>
      </c>
      <c r="H55" s="1">
        <v>3.46</v>
      </c>
      <c r="I55" s="1" t="s">
        <v>32</v>
      </c>
      <c r="J55" s="13">
        <f t="shared" si="4"/>
        <v>3.46</v>
      </c>
      <c r="K55" s="1" t="s">
        <v>85</v>
      </c>
    </row>
    <row r="56" spans="1:11">
      <c r="A56" s="1" t="str">
        <f t="shared" si="5"/>
        <v/>
      </c>
      <c r="B56" s="1" t="str">
        <f t="shared" si="6"/>
        <v/>
      </c>
      <c r="C56" s="1" t="str">
        <f t="shared" si="7"/>
        <v/>
      </c>
      <c r="D56" s="1" t="str">
        <f t="shared" si="8"/>
        <v/>
      </c>
      <c r="G56" s="1" t="s">
        <v>84</v>
      </c>
      <c r="H56" s="1">
        <v>67.28</v>
      </c>
      <c r="I56" s="1" t="s">
        <v>32</v>
      </c>
      <c r="J56" s="13">
        <f t="shared" si="4"/>
        <v>67.28</v>
      </c>
      <c r="K56" s="1" t="s">
        <v>85</v>
      </c>
    </row>
    <row r="57" spans="1:11">
      <c r="A57" s="1" t="str">
        <f t="shared" si="5"/>
        <v/>
      </c>
      <c r="B57" s="1" t="str">
        <f t="shared" si="6"/>
        <v/>
      </c>
      <c r="C57" s="1" t="str">
        <f t="shared" si="7"/>
        <v/>
      </c>
      <c r="D57" s="1" t="str">
        <f t="shared" si="8"/>
        <v/>
      </c>
      <c r="G57" s="1" t="s">
        <v>152</v>
      </c>
      <c r="H57" s="1">
        <v>3.4</v>
      </c>
      <c r="I57" s="1" t="s">
        <v>32</v>
      </c>
      <c r="J57" s="13">
        <f t="shared" si="4"/>
        <v>3.4</v>
      </c>
      <c r="K57" s="1" t="s">
        <v>55</v>
      </c>
    </row>
    <row r="58" spans="1:11">
      <c r="A58" s="1" t="str">
        <f t="shared" si="5"/>
        <v/>
      </c>
      <c r="B58" s="1" t="str">
        <f t="shared" si="6"/>
        <v/>
      </c>
      <c r="C58" s="1" t="str">
        <f t="shared" si="7"/>
        <v/>
      </c>
      <c r="D58" s="1" t="str">
        <f t="shared" si="8"/>
        <v/>
      </c>
      <c r="G58" s="1" t="s">
        <v>338</v>
      </c>
      <c r="H58" s="1">
        <v>0.5</v>
      </c>
      <c r="I58" s="1" t="s">
        <v>32</v>
      </c>
      <c r="J58" s="13">
        <f t="shared" si="4"/>
        <v>0.5</v>
      </c>
      <c r="K58" s="1" t="s">
        <v>59</v>
      </c>
    </row>
    <row r="59" spans="1:11">
      <c r="A59" s="1" t="str">
        <f t="shared" si="5"/>
        <v/>
      </c>
      <c r="B59" s="1" t="str">
        <f t="shared" si="6"/>
        <v/>
      </c>
      <c r="C59" s="1" t="str">
        <f t="shared" si="7"/>
        <v/>
      </c>
      <c r="D59" s="1" t="str">
        <f t="shared" si="8"/>
        <v/>
      </c>
      <c r="G59" s="1" t="s">
        <v>338</v>
      </c>
      <c r="H59" s="1">
        <v>0.5</v>
      </c>
      <c r="I59" s="1" t="s">
        <v>32</v>
      </c>
      <c r="J59" s="13">
        <f t="shared" si="4"/>
        <v>0.5</v>
      </c>
      <c r="K59" s="1" t="s">
        <v>59</v>
      </c>
    </row>
    <row r="60" spans="1:11">
      <c r="A60" s="1" t="str">
        <f t="shared" si="5"/>
        <v/>
      </c>
      <c r="B60" s="1" t="str">
        <f t="shared" si="6"/>
        <v/>
      </c>
      <c r="C60" s="1" t="str">
        <f t="shared" si="7"/>
        <v/>
      </c>
      <c r="D60" s="1" t="str">
        <f t="shared" si="8"/>
        <v/>
      </c>
      <c r="G60" s="1" t="s">
        <v>338</v>
      </c>
      <c r="H60" s="1">
        <v>0.5</v>
      </c>
      <c r="I60" s="1" t="s">
        <v>32</v>
      </c>
      <c r="J60" s="13">
        <f t="shared" si="4"/>
        <v>0.5</v>
      </c>
      <c r="K60" s="1" t="s">
        <v>59</v>
      </c>
    </row>
    <row r="61" spans="1:11">
      <c r="A61" s="1" t="str">
        <f t="shared" si="5"/>
        <v/>
      </c>
      <c r="B61" s="1" t="str">
        <f t="shared" si="6"/>
        <v/>
      </c>
      <c r="C61" s="1" t="str">
        <f t="shared" si="7"/>
        <v/>
      </c>
      <c r="D61" s="1" t="str">
        <f t="shared" si="8"/>
        <v/>
      </c>
      <c r="G61" s="1" t="s">
        <v>152</v>
      </c>
      <c r="H61" s="1">
        <v>3.5</v>
      </c>
      <c r="I61" s="1" t="s">
        <v>32</v>
      </c>
      <c r="J61" s="13">
        <f t="shared" si="4"/>
        <v>3.5</v>
      </c>
      <c r="K61" s="1" t="s">
        <v>55</v>
      </c>
    </row>
    <row r="62" spans="1:11">
      <c r="A62" s="1" t="str">
        <f t="shared" si="5"/>
        <v/>
      </c>
      <c r="B62" s="1" t="str">
        <f t="shared" si="6"/>
        <v/>
      </c>
      <c r="C62" s="1" t="str">
        <f t="shared" si="7"/>
        <v/>
      </c>
      <c r="D62" s="1" t="str">
        <f t="shared" si="8"/>
        <v/>
      </c>
      <c r="G62" s="1" t="s">
        <v>340</v>
      </c>
      <c r="H62" s="1">
        <v>9.1999999999999993</v>
      </c>
      <c r="I62" s="1" t="s">
        <v>32</v>
      </c>
      <c r="J62" s="13">
        <f t="shared" si="4"/>
        <v>9.1999999999999993</v>
      </c>
      <c r="K62" s="1" t="s">
        <v>98</v>
      </c>
    </row>
    <row r="63" spans="1:11">
      <c r="A63" s="1" t="str">
        <f t="shared" si="5"/>
        <v/>
      </c>
      <c r="B63" s="1" t="str">
        <f t="shared" si="6"/>
        <v/>
      </c>
      <c r="C63" s="1" t="str">
        <f t="shared" si="7"/>
        <v/>
      </c>
      <c r="D63" s="1" t="str">
        <f t="shared" si="8"/>
        <v/>
      </c>
      <c r="G63" s="1" t="s">
        <v>341</v>
      </c>
      <c r="H63" s="1">
        <v>34</v>
      </c>
      <c r="I63" s="1" t="s">
        <v>32</v>
      </c>
      <c r="J63" s="13">
        <f t="shared" si="4"/>
        <v>34</v>
      </c>
      <c r="K63" s="1" t="s">
        <v>55</v>
      </c>
    </row>
    <row r="64" spans="1:11">
      <c r="A64" s="1" t="str">
        <f t="shared" si="5"/>
        <v/>
      </c>
      <c r="B64" s="1" t="str">
        <f t="shared" si="6"/>
        <v/>
      </c>
      <c r="C64" s="1" t="str">
        <f t="shared" si="7"/>
        <v/>
      </c>
      <c r="D64" s="1" t="str">
        <f t="shared" si="8"/>
        <v/>
      </c>
      <c r="G64" s="1" t="s">
        <v>342</v>
      </c>
      <c r="H64" s="1">
        <v>43.42</v>
      </c>
      <c r="I64" s="1" t="s">
        <v>32</v>
      </c>
      <c r="J64" s="13">
        <f t="shared" si="4"/>
        <v>43.42</v>
      </c>
      <c r="K64" s="1" t="s">
        <v>24</v>
      </c>
    </row>
    <row r="65" spans="1:11">
      <c r="A65" s="1" t="str">
        <f t="shared" si="5"/>
        <v/>
      </c>
      <c r="B65" s="1" t="str">
        <f t="shared" si="6"/>
        <v/>
      </c>
      <c r="C65" s="1" t="str">
        <f t="shared" si="7"/>
        <v/>
      </c>
      <c r="D65" s="1" t="str">
        <f t="shared" si="8"/>
        <v/>
      </c>
      <c r="G65" s="1" t="s">
        <v>344</v>
      </c>
      <c r="H65" s="1">
        <v>12.55</v>
      </c>
      <c r="I65" s="1" t="s">
        <v>32</v>
      </c>
      <c r="J65" s="13">
        <f t="shared" si="4"/>
        <v>12.55</v>
      </c>
      <c r="K65" s="1" t="s">
        <v>24</v>
      </c>
    </row>
    <row r="66" spans="1:11">
      <c r="A66" s="1" t="str">
        <f t="shared" si="5"/>
        <v/>
      </c>
      <c r="B66" s="1" t="str">
        <f t="shared" si="6"/>
        <v/>
      </c>
      <c r="C66" s="1" t="str">
        <f t="shared" si="7"/>
        <v/>
      </c>
      <c r="D66" s="1" t="str">
        <f t="shared" si="8"/>
        <v/>
      </c>
      <c r="G66" s="1" t="s">
        <v>87</v>
      </c>
      <c r="H66" s="1">
        <v>3.49</v>
      </c>
      <c r="I66" s="1" t="s">
        <v>32</v>
      </c>
      <c r="J66" s="13">
        <f t="shared" si="4"/>
        <v>3.49</v>
      </c>
      <c r="K66" s="1" t="s">
        <v>24</v>
      </c>
    </row>
    <row r="67" spans="1:11">
      <c r="A67" s="1" t="str">
        <f t="shared" si="5"/>
        <v/>
      </c>
      <c r="B67" s="1" t="str">
        <f t="shared" si="6"/>
        <v/>
      </c>
      <c r="C67" s="1" t="str">
        <f t="shared" si="7"/>
        <v/>
      </c>
      <c r="D67" s="1" t="str">
        <f t="shared" si="8"/>
        <v/>
      </c>
      <c r="G67" s="1" t="s">
        <v>284</v>
      </c>
      <c r="H67" s="1">
        <v>25</v>
      </c>
      <c r="I67" s="1" t="s">
        <v>32</v>
      </c>
      <c r="J67" s="13">
        <f t="shared" si="4"/>
        <v>25</v>
      </c>
      <c r="K67" s="1" t="s">
        <v>59</v>
      </c>
    </row>
    <row r="68" spans="1:11">
      <c r="A68" s="1" t="str">
        <f t="shared" si="5"/>
        <v/>
      </c>
      <c r="B68" s="1" t="str">
        <f t="shared" si="6"/>
        <v/>
      </c>
      <c r="C68" s="1" t="str">
        <f t="shared" si="7"/>
        <v/>
      </c>
      <c r="D68" s="1" t="str">
        <f t="shared" si="8"/>
        <v/>
      </c>
      <c r="G68" s="1" t="s">
        <v>87</v>
      </c>
      <c r="H68" s="1">
        <v>33.92</v>
      </c>
      <c r="I68" s="1" t="s">
        <v>32</v>
      </c>
      <c r="J68" s="13">
        <f t="shared" si="4"/>
        <v>33.92</v>
      </c>
      <c r="K68" s="1" t="s">
        <v>24</v>
      </c>
    </row>
    <row r="69" spans="1:11">
      <c r="A69" s="1" t="str">
        <f t="shared" si="5"/>
        <v/>
      </c>
      <c r="B69" s="1" t="str">
        <f t="shared" si="6"/>
        <v/>
      </c>
      <c r="C69" s="1" t="str">
        <f t="shared" si="7"/>
        <v/>
      </c>
      <c r="D69" s="1" t="str">
        <f t="shared" si="8"/>
        <v/>
      </c>
      <c r="G69" s="1" t="s">
        <v>347</v>
      </c>
      <c r="H69" s="1">
        <v>2.73</v>
      </c>
      <c r="I69" s="1" t="s">
        <v>32</v>
      </c>
      <c r="J69" s="13">
        <f t="shared" si="4"/>
        <v>2.73</v>
      </c>
      <c r="K69" s="1" t="s">
        <v>24</v>
      </c>
    </row>
    <row r="70" spans="1:11">
      <c r="A70" s="1" t="str">
        <f t="shared" si="5"/>
        <v/>
      </c>
      <c r="B70" s="1" t="str">
        <f t="shared" si="6"/>
        <v/>
      </c>
      <c r="C70" s="1" t="str">
        <f t="shared" si="7"/>
        <v/>
      </c>
      <c r="D70" s="1" t="str">
        <f t="shared" si="8"/>
        <v/>
      </c>
      <c r="G70" s="1" t="s">
        <v>348</v>
      </c>
      <c r="H70" s="1">
        <v>6.6</v>
      </c>
      <c r="I70" s="1" t="s">
        <v>32</v>
      </c>
      <c r="J70" s="13">
        <f t="shared" si="4"/>
        <v>6.6</v>
      </c>
      <c r="K70" s="1" t="s">
        <v>24</v>
      </c>
    </row>
    <row r="71" spans="1:11">
      <c r="A71" s="1" t="str">
        <f t="shared" si="5"/>
        <v/>
      </c>
      <c r="B71" s="1" t="str">
        <f t="shared" si="6"/>
        <v/>
      </c>
      <c r="C71" s="1" t="str">
        <f t="shared" si="7"/>
        <v/>
      </c>
      <c r="D71" s="1" t="str">
        <f t="shared" si="8"/>
        <v/>
      </c>
      <c r="G71" s="1" t="s">
        <v>81</v>
      </c>
      <c r="H71" s="1">
        <v>26.4</v>
      </c>
      <c r="I71" s="1" t="s">
        <v>32</v>
      </c>
      <c r="J71" s="13">
        <f t="shared" si="4"/>
        <v>26.4</v>
      </c>
      <c r="K71" s="1" t="s">
        <v>89</v>
      </c>
    </row>
    <row r="72" spans="1:11">
      <c r="A72" s="1" t="str">
        <f t="shared" si="5"/>
        <v/>
      </c>
      <c r="B72" s="1" t="str">
        <f t="shared" si="6"/>
        <v/>
      </c>
      <c r="C72" s="1" t="str">
        <f t="shared" si="7"/>
        <v/>
      </c>
      <c r="D72" s="1" t="str">
        <f t="shared" si="8"/>
        <v/>
      </c>
      <c r="G72" s="1" t="s">
        <v>350</v>
      </c>
      <c r="H72" s="1">
        <v>55.09</v>
      </c>
      <c r="I72" s="1" t="s">
        <v>32</v>
      </c>
      <c r="J72" s="13">
        <f t="shared" si="4"/>
        <v>55.09</v>
      </c>
      <c r="K72" s="1" t="s">
        <v>24</v>
      </c>
    </row>
    <row r="73" spans="1:11">
      <c r="A73" s="1" t="str">
        <f t="shared" si="5"/>
        <v/>
      </c>
      <c r="B73" s="1" t="str">
        <f t="shared" si="6"/>
        <v/>
      </c>
      <c r="C73" s="1" t="str">
        <f t="shared" si="7"/>
        <v/>
      </c>
      <c r="D73" s="1" t="str">
        <f t="shared" si="8"/>
        <v/>
      </c>
      <c r="G73" s="1" t="s">
        <v>115</v>
      </c>
      <c r="H73" s="1">
        <v>13</v>
      </c>
      <c r="I73" s="1" t="s">
        <v>32</v>
      </c>
      <c r="J73" s="13">
        <f t="shared" si="4"/>
        <v>13</v>
      </c>
      <c r="K73" s="1" t="s">
        <v>59</v>
      </c>
    </row>
    <row r="74" spans="1:11">
      <c r="A74" s="1" t="str">
        <f t="shared" si="5"/>
        <v/>
      </c>
      <c r="B74" s="1" t="str">
        <f t="shared" si="6"/>
        <v/>
      </c>
      <c r="C74" s="1" t="str">
        <f t="shared" si="7"/>
        <v/>
      </c>
      <c r="D74" s="1" t="str">
        <f t="shared" si="8"/>
        <v/>
      </c>
      <c r="G74" s="1" t="s">
        <v>352</v>
      </c>
      <c r="H74" s="1">
        <v>159.9</v>
      </c>
      <c r="I74" s="1" t="s">
        <v>32</v>
      </c>
      <c r="J74" s="13">
        <f t="shared" si="4"/>
        <v>159.9</v>
      </c>
      <c r="K74" s="1" t="s">
        <v>89</v>
      </c>
    </row>
    <row r="75" spans="1:11">
      <c r="A75" s="1" t="str">
        <f t="shared" si="5"/>
        <v/>
      </c>
      <c r="B75" s="1" t="str">
        <f t="shared" si="6"/>
        <v/>
      </c>
      <c r="C75" s="1" t="str">
        <f t="shared" si="7"/>
        <v/>
      </c>
      <c r="D75" s="1" t="str">
        <f t="shared" si="8"/>
        <v/>
      </c>
      <c r="G75" s="1" t="s">
        <v>111</v>
      </c>
      <c r="H75" s="1">
        <v>7.45</v>
      </c>
      <c r="I75" s="1" t="s">
        <v>32</v>
      </c>
      <c r="J75" s="13">
        <f t="shared" si="4"/>
        <v>7.45</v>
      </c>
      <c r="K75" s="1" t="s">
        <v>24</v>
      </c>
    </row>
    <row r="76" spans="1:11">
      <c r="A76" s="1" t="str">
        <f t="shared" si="5"/>
        <v/>
      </c>
      <c r="B76" s="1" t="str">
        <f t="shared" si="6"/>
        <v/>
      </c>
      <c r="C76" s="1" t="str">
        <f t="shared" si="7"/>
        <v/>
      </c>
      <c r="D76" s="1" t="str">
        <f t="shared" si="8"/>
        <v/>
      </c>
      <c r="G76" s="1" t="s">
        <v>126</v>
      </c>
      <c r="H76" s="1">
        <v>9</v>
      </c>
      <c r="I76" s="1" t="s">
        <v>32</v>
      </c>
      <c r="J76" s="13">
        <f t="shared" si="4"/>
        <v>9</v>
      </c>
      <c r="K76" s="1" t="s">
        <v>55</v>
      </c>
    </row>
    <row r="77" spans="1:11">
      <c r="A77" s="1" t="str">
        <f t="shared" si="5"/>
        <v/>
      </c>
      <c r="B77" s="1" t="str">
        <f t="shared" si="6"/>
        <v/>
      </c>
      <c r="C77" s="1" t="str">
        <f t="shared" si="7"/>
        <v/>
      </c>
      <c r="D77" s="1" t="str">
        <f t="shared" si="8"/>
        <v/>
      </c>
      <c r="G77" s="1" t="s">
        <v>126</v>
      </c>
      <c r="H77" s="1">
        <v>9</v>
      </c>
      <c r="I77" s="1" t="s">
        <v>32</v>
      </c>
      <c r="J77" s="13">
        <f t="shared" si="4"/>
        <v>9</v>
      </c>
      <c r="K77" s="1" t="s">
        <v>55</v>
      </c>
    </row>
    <row r="78" spans="1:11">
      <c r="A78" s="1" t="str">
        <f t="shared" si="5"/>
        <v/>
      </c>
      <c r="B78" s="1" t="str">
        <f t="shared" si="6"/>
        <v/>
      </c>
      <c r="C78" s="1" t="str">
        <f t="shared" si="7"/>
        <v/>
      </c>
      <c r="D78" s="1" t="str">
        <f t="shared" si="8"/>
        <v/>
      </c>
      <c r="G78" s="1" t="s">
        <v>309</v>
      </c>
      <c r="H78" s="1">
        <v>130.44</v>
      </c>
      <c r="I78" s="1" t="s">
        <v>32</v>
      </c>
      <c r="J78" s="13">
        <f t="shared" si="4"/>
        <v>130.44</v>
      </c>
      <c r="K78" s="1" t="s">
        <v>24</v>
      </c>
    </row>
    <row r="79" spans="1:11">
      <c r="A79" s="1" t="str">
        <f t="shared" si="5"/>
        <v/>
      </c>
      <c r="B79" s="1" t="str">
        <f t="shared" si="6"/>
        <v/>
      </c>
      <c r="C79" s="1" t="str">
        <f t="shared" si="7"/>
        <v/>
      </c>
      <c r="D79" s="1" t="str">
        <f t="shared" si="8"/>
        <v/>
      </c>
      <c r="G79" s="1" t="s">
        <v>354</v>
      </c>
      <c r="H79" s="1">
        <v>45</v>
      </c>
      <c r="I79" s="1" t="s">
        <v>32</v>
      </c>
      <c r="J79" s="13">
        <f t="shared" si="4"/>
        <v>45</v>
      </c>
      <c r="K79" s="1" t="s">
        <v>55</v>
      </c>
    </row>
    <row r="80" spans="1:11">
      <c r="A80" s="1" t="str">
        <f t="shared" si="5"/>
        <v/>
      </c>
      <c r="B80" s="1" t="str">
        <f t="shared" si="6"/>
        <v/>
      </c>
      <c r="C80" s="1" t="str">
        <f t="shared" si="7"/>
        <v/>
      </c>
      <c r="D80" s="1" t="str">
        <f t="shared" si="8"/>
        <v/>
      </c>
      <c r="G80" s="1" t="s">
        <v>232</v>
      </c>
      <c r="H80" s="1">
        <v>17.95</v>
      </c>
      <c r="I80" s="1" t="s">
        <v>32</v>
      </c>
      <c r="J80" s="13">
        <f t="shared" si="4"/>
        <v>17.95</v>
      </c>
      <c r="K80" s="1" t="s">
        <v>98</v>
      </c>
    </row>
    <row r="81" spans="1:11">
      <c r="A81" s="1" t="str">
        <f t="shared" si="5"/>
        <v/>
      </c>
      <c r="B81" s="1" t="str">
        <f t="shared" si="6"/>
        <v/>
      </c>
      <c r="C81" s="1" t="str">
        <f t="shared" si="7"/>
        <v/>
      </c>
      <c r="D81" s="1" t="str">
        <f t="shared" si="8"/>
        <v/>
      </c>
      <c r="G81" s="1" t="s">
        <v>87</v>
      </c>
      <c r="H81" s="1">
        <v>36.18</v>
      </c>
      <c r="I81" s="1" t="s">
        <v>32</v>
      </c>
      <c r="J81" s="13">
        <f t="shared" si="4"/>
        <v>36.18</v>
      </c>
      <c r="K81" s="1" t="s">
        <v>24</v>
      </c>
    </row>
    <row r="82" spans="1:11">
      <c r="A82" s="1" t="str">
        <f t="shared" si="5"/>
        <v/>
      </c>
      <c r="B82" s="1" t="str">
        <f t="shared" si="6"/>
        <v/>
      </c>
      <c r="C82" s="1" t="str">
        <f t="shared" si="7"/>
        <v/>
      </c>
      <c r="D82" s="1" t="str">
        <f t="shared" si="8"/>
        <v/>
      </c>
      <c r="G82" s="1" t="s">
        <v>87</v>
      </c>
      <c r="H82" s="1">
        <v>48.47</v>
      </c>
      <c r="I82" s="1" t="s">
        <v>32</v>
      </c>
      <c r="J82" s="13">
        <f t="shared" si="4"/>
        <v>48.47</v>
      </c>
      <c r="K82" s="1" t="s">
        <v>24</v>
      </c>
    </row>
    <row r="83" spans="1:11">
      <c r="A83" s="1" t="str">
        <f t="shared" si="5"/>
        <v/>
      </c>
      <c r="B83" s="1" t="str">
        <f t="shared" si="6"/>
        <v/>
      </c>
      <c r="C83" s="1" t="str">
        <f t="shared" si="7"/>
        <v/>
      </c>
      <c r="D83" s="1" t="str">
        <f t="shared" si="8"/>
        <v/>
      </c>
      <c r="G83" s="1" t="s">
        <v>351</v>
      </c>
      <c r="H83" s="1">
        <v>10.91</v>
      </c>
      <c r="I83" s="1" t="s">
        <v>32</v>
      </c>
      <c r="J83" s="13">
        <f t="shared" si="4"/>
        <v>10.91</v>
      </c>
      <c r="K83" s="1" t="s">
        <v>24</v>
      </c>
    </row>
    <row r="84" spans="1:11">
      <c r="A84" s="1" t="str">
        <f t="shared" si="5"/>
        <v/>
      </c>
      <c r="B84" s="1" t="str">
        <f t="shared" si="6"/>
        <v/>
      </c>
      <c r="C84" s="1" t="str">
        <f t="shared" si="7"/>
        <v/>
      </c>
      <c r="D84" s="1" t="str">
        <f t="shared" si="8"/>
        <v/>
      </c>
      <c r="G84" s="1" t="s">
        <v>333</v>
      </c>
      <c r="H84" s="1">
        <v>25.82</v>
      </c>
      <c r="I84" s="1" t="s">
        <v>32</v>
      </c>
      <c r="J84" s="13">
        <f t="shared" si="4"/>
        <v>25.82</v>
      </c>
      <c r="K84" s="1" t="s">
        <v>24</v>
      </c>
    </row>
    <row r="85" spans="1:11">
      <c r="A85" s="1" t="str">
        <f t="shared" si="5"/>
        <v/>
      </c>
      <c r="B85" s="1" t="str">
        <f t="shared" si="6"/>
        <v/>
      </c>
      <c r="C85" s="1" t="str">
        <f t="shared" si="7"/>
        <v/>
      </c>
      <c r="D85" s="1" t="str">
        <f t="shared" si="8"/>
        <v/>
      </c>
      <c r="G85" s="1" t="s">
        <v>82</v>
      </c>
      <c r="H85" s="1">
        <v>29.83</v>
      </c>
      <c r="I85" s="1" t="s">
        <v>32</v>
      </c>
      <c r="J85" s="13">
        <f t="shared" si="4"/>
        <v>29.83</v>
      </c>
      <c r="K85" s="1" t="s">
        <v>83</v>
      </c>
    </row>
    <row r="86" spans="1:11">
      <c r="A86" s="1" t="str">
        <f t="shared" si="5"/>
        <v/>
      </c>
      <c r="B86" s="1" t="str">
        <f t="shared" si="6"/>
        <v/>
      </c>
      <c r="C86" s="1" t="str">
        <f t="shared" si="7"/>
        <v/>
      </c>
      <c r="D86" s="1" t="str">
        <f t="shared" si="8"/>
        <v/>
      </c>
      <c r="G86" s="14" t="s">
        <v>82</v>
      </c>
      <c r="H86" s="1">
        <v>57.59</v>
      </c>
      <c r="I86" s="1" t="s">
        <v>32</v>
      </c>
      <c r="J86" s="13">
        <f t="shared" si="4"/>
        <v>57.59</v>
      </c>
      <c r="K86" s="1" t="s">
        <v>83</v>
      </c>
    </row>
    <row r="87" spans="1:11">
      <c r="A87" s="1" t="str">
        <f t="shared" si="5"/>
        <v/>
      </c>
      <c r="B87" s="1" t="str">
        <f t="shared" si="6"/>
        <v/>
      </c>
      <c r="C87" s="1" t="str">
        <f t="shared" si="7"/>
        <v/>
      </c>
      <c r="D87" s="1" t="str">
        <f t="shared" si="8"/>
        <v/>
      </c>
      <c r="G87" s="1" t="s">
        <v>360</v>
      </c>
      <c r="H87" s="1">
        <v>118</v>
      </c>
      <c r="I87" s="1" t="s">
        <v>32</v>
      </c>
      <c r="J87" s="13">
        <f t="shared" si="4"/>
        <v>118</v>
      </c>
      <c r="K87" s="1" t="s">
        <v>29</v>
      </c>
    </row>
    <row r="88" spans="1:11">
      <c r="A88" s="1" t="str">
        <f t="shared" si="5"/>
        <v/>
      </c>
      <c r="B88" s="1" t="str">
        <f t="shared" si="6"/>
        <v/>
      </c>
      <c r="C88" s="1" t="str">
        <f t="shared" si="7"/>
        <v/>
      </c>
      <c r="D88" s="1" t="str">
        <f t="shared" si="8"/>
        <v/>
      </c>
      <c r="G88" s="1" t="s">
        <v>361</v>
      </c>
      <c r="H88" s="1">
        <v>140</v>
      </c>
      <c r="I88" s="1" t="s">
        <v>32</v>
      </c>
      <c r="J88" s="13">
        <f t="shared" si="4"/>
        <v>140</v>
      </c>
      <c r="K88" s="1" t="s">
        <v>83</v>
      </c>
    </row>
    <row r="89" spans="1:11">
      <c r="A89" s="1" t="str">
        <f t="shared" si="5"/>
        <v/>
      </c>
      <c r="B89" s="1" t="str">
        <f t="shared" si="6"/>
        <v/>
      </c>
      <c r="C89" s="1" t="str">
        <f t="shared" si="7"/>
        <v/>
      </c>
      <c r="D89" s="1" t="str">
        <f t="shared" si="8"/>
        <v/>
      </c>
      <c r="G89" s="1" t="s">
        <v>363</v>
      </c>
      <c r="H89" s="1">
        <v>41.88</v>
      </c>
      <c r="I89" s="1" t="s">
        <v>32</v>
      </c>
      <c r="J89" s="13">
        <f t="shared" si="4"/>
        <v>41.88</v>
      </c>
      <c r="K89" s="1" t="s">
        <v>64</v>
      </c>
    </row>
    <row r="90" spans="1:11">
      <c r="A90" s="1" t="str">
        <f t="shared" si="5"/>
        <v/>
      </c>
      <c r="B90" s="1" t="str">
        <f t="shared" si="6"/>
        <v/>
      </c>
      <c r="C90" s="1" t="str">
        <f t="shared" si="7"/>
        <v/>
      </c>
      <c r="D90" s="1" t="str">
        <f t="shared" si="8"/>
        <v/>
      </c>
      <c r="G90" s="1" t="s">
        <v>364</v>
      </c>
      <c r="H90" s="1">
        <v>23.1</v>
      </c>
      <c r="I90" s="1" t="s">
        <v>32</v>
      </c>
      <c r="J90" s="13">
        <f t="shared" si="4"/>
        <v>23.1</v>
      </c>
      <c r="K90" s="1" t="s">
        <v>198</v>
      </c>
    </row>
    <row r="91" spans="1:11">
      <c r="A91" s="1" t="str">
        <f t="shared" si="5"/>
        <v/>
      </c>
      <c r="B91" s="1" t="str">
        <f t="shared" si="6"/>
        <v/>
      </c>
      <c r="C91" s="1" t="str">
        <f t="shared" si="7"/>
        <v/>
      </c>
      <c r="D91" s="1" t="str">
        <f t="shared" si="8"/>
        <v/>
      </c>
      <c r="G91" s="1" t="s">
        <v>365</v>
      </c>
      <c r="H91" s="1">
        <v>12</v>
      </c>
      <c r="I91" s="1" t="s">
        <v>32</v>
      </c>
      <c r="J91" s="13">
        <f t="shared" si="4"/>
        <v>12</v>
      </c>
      <c r="K91" s="1" t="s">
        <v>83</v>
      </c>
    </row>
    <row r="92" spans="1:11">
      <c r="A92" s="1" t="str">
        <f t="shared" si="5"/>
        <v/>
      </c>
      <c r="B92" s="1" t="str">
        <f t="shared" si="6"/>
        <v/>
      </c>
      <c r="C92" s="1" t="str">
        <f t="shared" si="7"/>
        <v/>
      </c>
      <c r="D92" s="1" t="str">
        <f t="shared" si="8"/>
        <v/>
      </c>
      <c r="G92" s="1" t="s">
        <v>367</v>
      </c>
      <c r="H92" s="1">
        <v>4</v>
      </c>
      <c r="I92" s="1" t="s">
        <v>32</v>
      </c>
      <c r="J92" s="13">
        <f t="shared" si="4"/>
        <v>4</v>
      </c>
      <c r="K92" s="1" t="s">
        <v>98</v>
      </c>
    </row>
    <row r="93" spans="1:11">
      <c r="A93" s="1" t="str">
        <f t="shared" si="5"/>
        <v/>
      </c>
      <c r="B93" s="1" t="str">
        <f t="shared" si="6"/>
        <v/>
      </c>
      <c r="C93" s="1" t="str">
        <f t="shared" si="7"/>
        <v/>
      </c>
      <c r="D93" s="1" t="str">
        <f t="shared" si="8"/>
        <v/>
      </c>
      <c r="G93" s="1" t="s">
        <v>369</v>
      </c>
      <c r="H93" s="1">
        <v>26.8</v>
      </c>
      <c r="I93" s="1" t="s">
        <v>32</v>
      </c>
      <c r="J93" s="13">
        <f t="shared" si="4"/>
        <v>26.8</v>
      </c>
      <c r="K93" s="1" t="s">
        <v>29</v>
      </c>
    </row>
    <row r="94" spans="1:11">
      <c r="A94" s="1" t="str">
        <f t="shared" si="5"/>
        <v/>
      </c>
      <c r="B94" s="1" t="str">
        <f t="shared" si="6"/>
        <v/>
      </c>
      <c r="C94" s="1" t="str">
        <f t="shared" si="7"/>
        <v/>
      </c>
      <c r="D94" s="1" t="str">
        <f t="shared" si="8"/>
        <v/>
      </c>
      <c r="G94" s="1" t="s">
        <v>82</v>
      </c>
      <c r="H94" s="1">
        <v>35.479999999999997</v>
      </c>
      <c r="I94" s="1" t="s">
        <v>32</v>
      </c>
      <c r="J94" s="13">
        <f t="shared" si="4"/>
        <v>35.479999999999997</v>
      </c>
      <c r="K94" s="1" t="s">
        <v>83</v>
      </c>
    </row>
    <row r="95" spans="1:11">
      <c r="A95" s="1" t="str">
        <f t="shared" si="5"/>
        <v/>
      </c>
      <c r="B95" s="1" t="str">
        <f t="shared" si="6"/>
        <v/>
      </c>
      <c r="C95" s="1" t="str">
        <f t="shared" si="7"/>
        <v/>
      </c>
      <c r="D95" s="1" t="str">
        <f t="shared" si="8"/>
        <v/>
      </c>
      <c r="G95" s="1" t="s">
        <v>84</v>
      </c>
      <c r="H95" s="1">
        <v>78.900000000000006</v>
      </c>
      <c r="I95" s="1" t="s">
        <v>32</v>
      </c>
      <c r="J95" s="13">
        <f t="shared" si="4"/>
        <v>78.900000000000006</v>
      </c>
      <c r="K95" s="1" t="s">
        <v>85</v>
      </c>
    </row>
    <row r="96" spans="1:11">
      <c r="A96" s="1" t="str">
        <f t="shared" si="5"/>
        <v/>
      </c>
      <c r="B96" s="1" t="str">
        <f t="shared" si="6"/>
        <v/>
      </c>
      <c r="C96" s="1" t="str">
        <f t="shared" si="7"/>
        <v/>
      </c>
      <c r="D96" s="1" t="str">
        <f t="shared" si="8"/>
        <v/>
      </c>
      <c r="G96" s="1" t="s">
        <v>111</v>
      </c>
      <c r="H96" s="1">
        <v>6.97</v>
      </c>
      <c r="I96" s="1" t="s">
        <v>32</v>
      </c>
      <c r="J96" s="13">
        <f t="shared" si="4"/>
        <v>6.97</v>
      </c>
      <c r="K96" s="1" t="s">
        <v>24</v>
      </c>
    </row>
    <row r="97" spans="1:11">
      <c r="A97" s="1" t="str">
        <f t="shared" si="5"/>
        <v/>
      </c>
      <c r="B97" s="1" t="str">
        <f t="shared" si="6"/>
        <v/>
      </c>
      <c r="C97" s="1" t="str">
        <f t="shared" si="7"/>
        <v/>
      </c>
      <c r="D97" s="1" t="str">
        <f t="shared" si="8"/>
        <v/>
      </c>
      <c r="G97" s="1" t="s">
        <v>81</v>
      </c>
      <c r="H97" s="1">
        <v>202.71</v>
      </c>
      <c r="I97" s="1" t="s">
        <v>32</v>
      </c>
      <c r="J97" s="13">
        <f t="shared" si="4"/>
        <v>202.71</v>
      </c>
      <c r="K97" s="1" t="s">
        <v>89</v>
      </c>
    </row>
    <row r="98" spans="1:11">
      <c r="A98" s="1" t="str">
        <f t="shared" si="5"/>
        <v/>
      </c>
      <c r="B98" s="1" t="str">
        <f t="shared" si="6"/>
        <v/>
      </c>
      <c r="C98" s="1" t="str">
        <f t="shared" si="7"/>
        <v/>
      </c>
      <c r="D98" s="1" t="str">
        <f t="shared" si="8"/>
        <v/>
      </c>
      <c r="G98" s="1" t="s">
        <v>372</v>
      </c>
      <c r="H98" s="1">
        <v>9</v>
      </c>
      <c r="I98" s="1" t="s">
        <v>32</v>
      </c>
      <c r="J98" s="13">
        <f t="shared" si="4"/>
        <v>9</v>
      </c>
      <c r="K98" s="1" t="s">
        <v>55</v>
      </c>
    </row>
    <row r="99" spans="1:11">
      <c r="A99" s="1" t="str">
        <f t="shared" si="5"/>
        <v/>
      </c>
      <c r="B99" s="1" t="str">
        <f t="shared" si="6"/>
        <v/>
      </c>
      <c r="C99" s="1" t="str">
        <f t="shared" si="7"/>
        <v/>
      </c>
      <c r="D99" s="1" t="str">
        <f t="shared" si="8"/>
        <v/>
      </c>
      <c r="G99" s="1" t="s">
        <v>372</v>
      </c>
      <c r="H99" s="1">
        <v>9</v>
      </c>
      <c r="I99" s="1" t="s">
        <v>32</v>
      </c>
      <c r="J99" s="13">
        <f t="shared" si="4"/>
        <v>9</v>
      </c>
      <c r="K99" s="1" t="s">
        <v>55</v>
      </c>
    </row>
    <row r="100" spans="1:11">
      <c r="A100" s="1" t="str">
        <f t="shared" si="5"/>
        <v/>
      </c>
      <c r="B100" s="1" t="str">
        <f t="shared" si="6"/>
        <v/>
      </c>
      <c r="C100" s="1" t="str">
        <f t="shared" si="7"/>
        <v/>
      </c>
      <c r="D100" s="1" t="str">
        <f t="shared" si="8"/>
        <v/>
      </c>
      <c r="G100" s="1" t="s">
        <v>87</v>
      </c>
      <c r="H100" s="1">
        <v>14.28</v>
      </c>
      <c r="I100" s="1" t="s">
        <v>32</v>
      </c>
      <c r="J100" s="13">
        <f t="shared" si="4"/>
        <v>14.28</v>
      </c>
      <c r="K100" s="1" t="s">
        <v>24</v>
      </c>
    </row>
    <row r="101" spans="1:11">
      <c r="A101" s="1" t="str">
        <f t="shared" si="5"/>
        <v/>
      </c>
      <c r="B101" s="1" t="str">
        <f t="shared" si="6"/>
        <v/>
      </c>
      <c r="C101" s="1" t="str">
        <f t="shared" si="7"/>
        <v/>
      </c>
      <c r="D101" s="1" t="str">
        <f t="shared" si="8"/>
        <v/>
      </c>
      <c r="G101" s="1" t="s">
        <v>62</v>
      </c>
      <c r="H101" s="1">
        <v>0.99</v>
      </c>
      <c r="I101" s="1" t="s">
        <v>32</v>
      </c>
      <c r="J101" s="13">
        <f t="shared" si="4"/>
        <v>0.99</v>
      </c>
      <c r="K101" s="1" t="s">
        <v>44</v>
      </c>
    </row>
    <row r="102" spans="1:11">
      <c r="A102" s="1" t="str">
        <f t="shared" si="5"/>
        <v/>
      </c>
      <c r="B102" s="1" t="str">
        <f t="shared" si="6"/>
        <v/>
      </c>
      <c r="C102" s="1" t="str">
        <f t="shared" si="7"/>
        <v/>
      </c>
      <c r="D102" s="1" t="str">
        <f t="shared" si="8"/>
        <v/>
      </c>
      <c r="G102" s="1" t="s">
        <v>87</v>
      </c>
      <c r="H102" s="1">
        <v>32.71</v>
      </c>
      <c r="I102" s="1" t="s">
        <v>32</v>
      </c>
      <c r="J102" s="13">
        <f t="shared" si="4"/>
        <v>32.71</v>
      </c>
      <c r="K102" s="1" t="s">
        <v>24</v>
      </c>
    </row>
    <row r="103" spans="1:11">
      <c r="A103" s="1" t="str">
        <f t="shared" si="5"/>
        <v/>
      </c>
      <c r="B103" s="1" t="str">
        <f t="shared" si="6"/>
        <v/>
      </c>
      <c r="C103" s="1" t="str">
        <f t="shared" si="7"/>
        <v/>
      </c>
      <c r="D103" s="1" t="str">
        <f t="shared" si="8"/>
        <v/>
      </c>
      <c r="G103" s="1" t="s">
        <v>377</v>
      </c>
      <c r="H103" s="1">
        <v>10.5</v>
      </c>
      <c r="I103" s="1" t="s">
        <v>32</v>
      </c>
      <c r="J103" s="13">
        <f t="shared" si="4"/>
        <v>10.5</v>
      </c>
      <c r="K103" s="1" t="s">
        <v>98</v>
      </c>
    </row>
    <row r="104" spans="1:11">
      <c r="A104" s="1" t="str">
        <f t="shared" si="5"/>
        <v/>
      </c>
      <c r="B104" s="1" t="str">
        <f t="shared" si="6"/>
        <v/>
      </c>
      <c r="C104" s="1" t="str">
        <f t="shared" si="7"/>
        <v/>
      </c>
      <c r="D104" s="1" t="str">
        <f t="shared" si="8"/>
        <v/>
      </c>
      <c r="G104" s="1" t="s">
        <v>284</v>
      </c>
      <c r="H104" s="1">
        <v>25</v>
      </c>
      <c r="I104" s="1" t="s">
        <v>32</v>
      </c>
      <c r="J104" s="13">
        <f t="shared" si="4"/>
        <v>25</v>
      </c>
      <c r="K104" s="1" t="s">
        <v>98</v>
      </c>
    </row>
    <row r="105" spans="1:11">
      <c r="A105" s="1" t="str">
        <f t="shared" si="5"/>
        <v/>
      </c>
      <c r="B105" s="1" t="str">
        <f t="shared" si="6"/>
        <v/>
      </c>
      <c r="C105" s="1" t="str">
        <f t="shared" si="7"/>
        <v/>
      </c>
      <c r="D105" s="1" t="str">
        <f t="shared" si="8"/>
        <v/>
      </c>
      <c r="G105" s="1" t="s">
        <v>309</v>
      </c>
      <c r="H105" s="1">
        <v>45.42</v>
      </c>
      <c r="I105" s="1" t="s">
        <v>32</v>
      </c>
      <c r="J105" s="13">
        <f t="shared" si="4"/>
        <v>45.42</v>
      </c>
      <c r="K105" s="1" t="s">
        <v>24</v>
      </c>
    </row>
    <row r="106" spans="1:11">
      <c r="A106" s="1" t="str">
        <f t="shared" si="5"/>
        <v/>
      </c>
      <c r="B106" s="1" t="str">
        <f t="shared" si="6"/>
        <v/>
      </c>
      <c r="C106" s="1" t="str">
        <f t="shared" si="7"/>
        <v/>
      </c>
      <c r="D106" s="1" t="str">
        <f t="shared" si="8"/>
        <v/>
      </c>
      <c r="G106" s="1" t="s">
        <v>223</v>
      </c>
      <c r="H106" s="1">
        <v>7.88</v>
      </c>
      <c r="I106" s="1" t="s">
        <v>32</v>
      </c>
      <c r="J106" s="13">
        <f t="shared" si="4"/>
        <v>7.88</v>
      </c>
      <c r="K106" s="1" t="s">
        <v>24</v>
      </c>
    </row>
    <row r="107" spans="1:11">
      <c r="A107" s="1" t="str">
        <f t="shared" si="5"/>
        <v/>
      </c>
      <c r="B107" s="1" t="str">
        <f t="shared" si="6"/>
        <v/>
      </c>
      <c r="C107" s="1" t="str">
        <f t="shared" si="7"/>
        <v/>
      </c>
      <c r="D107" s="1" t="str">
        <f t="shared" si="8"/>
        <v/>
      </c>
      <c r="G107" s="1" t="s">
        <v>87</v>
      </c>
      <c r="H107" s="1">
        <v>17.5</v>
      </c>
      <c r="I107" s="1" t="s">
        <v>32</v>
      </c>
      <c r="J107" s="13">
        <f t="shared" si="4"/>
        <v>17.5</v>
      </c>
      <c r="K107" s="1" t="s">
        <v>24</v>
      </c>
    </row>
    <row r="108" spans="1:11">
      <c r="A108" s="1" t="str">
        <f t="shared" si="5"/>
        <v/>
      </c>
      <c r="B108" s="1" t="str">
        <f t="shared" si="6"/>
        <v/>
      </c>
      <c r="C108" s="1" t="str">
        <f t="shared" si="7"/>
        <v/>
      </c>
      <c r="D108" s="1" t="str">
        <f t="shared" si="8"/>
        <v/>
      </c>
      <c r="G108" s="1" t="s">
        <v>87</v>
      </c>
      <c r="H108" s="1">
        <v>28.37</v>
      </c>
      <c r="I108" s="1" t="s">
        <v>32</v>
      </c>
      <c r="J108" s="13">
        <f t="shared" si="4"/>
        <v>28.37</v>
      </c>
      <c r="K108" s="1" t="s">
        <v>24</v>
      </c>
    </row>
    <row r="109" spans="1:11">
      <c r="A109" s="1" t="str">
        <f t="shared" si="5"/>
        <v/>
      </c>
      <c r="B109" s="1" t="str">
        <f t="shared" si="6"/>
        <v/>
      </c>
      <c r="C109" s="1" t="str">
        <f t="shared" si="7"/>
        <v/>
      </c>
      <c r="D109" s="1" t="str">
        <f t="shared" si="8"/>
        <v/>
      </c>
      <c r="G109" s="1" t="s">
        <v>115</v>
      </c>
      <c r="H109" s="1">
        <v>13</v>
      </c>
      <c r="I109" s="1" t="s">
        <v>32</v>
      </c>
      <c r="J109" s="13">
        <f t="shared" si="4"/>
        <v>13</v>
      </c>
      <c r="K109" s="1" t="s">
        <v>59</v>
      </c>
    </row>
    <row r="110" spans="1:11">
      <c r="A110" s="1" t="str">
        <f t="shared" si="5"/>
        <v/>
      </c>
      <c r="B110" s="1" t="str">
        <f t="shared" si="6"/>
        <v/>
      </c>
      <c r="C110" s="1" t="str">
        <f t="shared" si="7"/>
        <v/>
      </c>
      <c r="D110" s="1" t="str">
        <f t="shared" si="8"/>
        <v/>
      </c>
      <c r="G110" s="1" t="s">
        <v>112</v>
      </c>
      <c r="H110" s="1">
        <v>13.65</v>
      </c>
      <c r="I110" s="1" t="s">
        <v>32</v>
      </c>
      <c r="J110" s="13">
        <f t="shared" si="4"/>
        <v>13.65</v>
      </c>
      <c r="K110" s="1" t="s">
        <v>89</v>
      </c>
    </row>
    <row r="111" spans="1:11">
      <c r="A111" s="1" t="str">
        <f t="shared" si="5"/>
        <v/>
      </c>
      <c r="B111" s="1" t="str">
        <f t="shared" si="6"/>
        <v/>
      </c>
      <c r="C111" s="1" t="str">
        <f t="shared" si="7"/>
        <v/>
      </c>
      <c r="D111" s="1" t="str">
        <f t="shared" si="8"/>
        <v/>
      </c>
      <c r="G111" s="1" t="s">
        <v>247</v>
      </c>
      <c r="H111" s="1">
        <v>68.599999999999994</v>
      </c>
      <c r="I111" s="1" t="s">
        <v>32</v>
      </c>
      <c r="J111" s="13">
        <f t="shared" si="4"/>
        <v>68.599999999999994</v>
      </c>
      <c r="K111" s="1" t="s">
        <v>55</v>
      </c>
    </row>
    <row r="112" spans="1:11">
      <c r="A112" s="1" t="str">
        <f t="shared" si="5"/>
        <v/>
      </c>
      <c r="B112" s="1" t="str">
        <f t="shared" si="6"/>
        <v/>
      </c>
      <c r="C112" s="1" t="str">
        <f t="shared" si="7"/>
        <v/>
      </c>
      <c r="D112" s="1" t="str">
        <f t="shared" si="8"/>
        <v/>
      </c>
      <c r="G112" s="1" t="s">
        <v>87</v>
      </c>
      <c r="H112" s="1">
        <v>11.52</v>
      </c>
      <c r="I112" s="1" t="s">
        <v>32</v>
      </c>
      <c r="J112" s="13">
        <f t="shared" si="4"/>
        <v>11.52</v>
      </c>
      <c r="K112" s="1" t="s">
        <v>24</v>
      </c>
    </row>
    <row r="113" spans="1:11">
      <c r="A113" s="1" t="str">
        <f t="shared" si="5"/>
        <v/>
      </c>
      <c r="B113" s="1" t="str">
        <f t="shared" si="6"/>
        <v/>
      </c>
      <c r="C113" s="1" t="str">
        <f t="shared" si="7"/>
        <v/>
      </c>
      <c r="D113" s="1" t="str">
        <f t="shared" si="8"/>
        <v/>
      </c>
      <c r="G113" s="1" t="s">
        <v>383</v>
      </c>
      <c r="H113" s="1">
        <v>100</v>
      </c>
      <c r="I113" s="1" t="s">
        <v>32</v>
      </c>
      <c r="J113" s="13">
        <f t="shared" si="4"/>
        <v>100</v>
      </c>
      <c r="K113" s="1" t="s">
        <v>24</v>
      </c>
    </row>
    <row r="114" spans="1:11">
      <c r="A114" s="1" t="str">
        <f t="shared" si="5"/>
        <v/>
      </c>
      <c r="B114" s="1" t="str">
        <f t="shared" si="6"/>
        <v/>
      </c>
      <c r="C114" s="1" t="str">
        <f t="shared" si="7"/>
        <v/>
      </c>
      <c r="D114" s="1" t="str">
        <f t="shared" si="8"/>
        <v/>
      </c>
      <c r="G114" s="1" t="s">
        <v>87</v>
      </c>
      <c r="H114" s="1">
        <v>109.75</v>
      </c>
      <c r="I114" s="1" t="s">
        <v>32</v>
      </c>
      <c r="J114" s="13">
        <f t="shared" si="4"/>
        <v>109.75</v>
      </c>
      <c r="K114" s="1" t="s">
        <v>24</v>
      </c>
    </row>
    <row r="115" spans="1:11">
      <c r="A115" s="1" t="str">
        <f t="shared" si="5"/>
        <v/>
      </c>
      <c r="B115" s="1" t="str">
        <f t="shared" si="6"/>
        <v/>
      </c>
      <c r="C115" s="1" t="str">
        <f t="shared" si="7"/>
        <v/>
      </c>
      <c r="D115" s="1" t="str">
        <f t="shared" si="8"/>
        <v/>
      </c>
      <c r="G115" s="1" t="s">
        <v>112</v>
      </c>
      <c r="H115" s="1">
        <v>3.76</v>
      </c>
      <c r="I115" s="1" t="s">
        <v>32</v>
      </c>
      <c r="J115" s="13">
        <f t="shared" si="4"/>
        <v>3.76</v>
      </c>
      <c r="K115" s="1" t="s">
        <v>89</v>
      </c>
    </row>
    <row r="116" spans="1:11">
      <c r="A116" s="1" t="str">
        <f t="shared" si="5"/>
        <v/>
      </c>
      <c r="B116" s="1" t="str">
        <f t="shared" si="6"/>
        <v/>
      </c>
      <c r="C116" s="1" t="str">
        <f t="shared" si="7"/>
        <v/>
      </c>
      <c r="D116" s="1" t="str">
        <f t="shared" si="8"/>
        <v/>
      </c>
      <c r="G116" s="1" t="s">
        <v>223</v>
      </c>
      <c r="H116" s="1">
        <v>4.9000000000000004</v>
      </c>
      <c r="I116" s="1" t="s">
        <v>32</v>
      </c>
      <c r="J116" s="13">
        <f t="shared" si="4"/>
        <v>4.9000000000000004</v>
      </c>
      <c r="K116" s="1" t="s">
        <v>24</v>
      </c>
    </row>
    <row r="117" spans="1:11">
      <c r="A117" s="1" t="str">
        <f t="shared" si="5"/>
        <v/>
      </c>
      <c r="B117" s="1" t="str">
        <f t="shared" si="6"/>
        <v/>
      </c>
      <c r="C117" s="1" t="str">
        <f t="shared" si="7"/>
        <v/>
      </c>
      <c r="D117" s="1" t="str">
        <f t="shared" si="8"/>
        <v/>
      </c>
      <c r="G117" s="1" t="s">
        <v>81</v>
      </c>
      <c r="H117" s="1">
        <v>234.96</v>
      </c>
      <c r="I117" s="1" t="s">
        <v>32</v>
      </c>
      <c r="J117" s="13">
        <f t="shared" si="4"/>
        <v>234.96</v>
      </c>
      <c r="K117" s="1" t="s">
        <v>89</v>
      </c>
    </row>
    <row r="118" spans="1:11">
      <c r="A118" s="1" t="str">
        <f t="shared" si="5"/>
        <v/>
      </c>
      <c r="B118" s="1" t="str">
        <f t="shared" si="6"/>
        <v/>
      </c>
      <c r="C118" s="1" t="str">
        <f t="shared" si="7"/>
        <v/>
      </c>
      <c r="D118" s="1" t="str">
        <f t="shared" si="8"/>
        <v/>
      </c>
      <c r="G118" s="1" t="s">
        <v>126</v>
      </c>
      <c r="H118" s="1">
        <v>9</v>
      </c>
      <c r="I118" s="1" t="s">
        <v>32</v>
      </c>
      <c r="J118" s="13">
        <f t="shared" si="4"/>
        <v>9</v>
      </c>
      <c r="K118" s="1" t="s">
        <v>55</v>
      </c>
    </row>
    <row r="119" spans="1:11">
      <c r="A119" s="1" t="str">
        <f t="shared" si="5"/>
        <v/>
      </c>
      <c r="B119" s="1" t="str">
        <f t="shared" si="6"/>
        <v/>
      </c>
      <c r="C119" s="1" t="str">
        <f t="shared" si="7"/>
        <v/>
      </c>
      <c r="D119" s="1" t="str">
        <f t="shared" si="8"/>
        <v/>
      </c>
      <c r="G119" s="1" t="s">
        <v>126</v>
      </c>
      <c r="H119" s="1">
        <v>9</v>
      </c>
      <c r="I119" s="1" t="s">
        <v>32</v>
      </c>
      <c r="J119" s="13">
        <f t="shared" si="4"/>
        <v>9</v>
      </c>
      <c r="K119" s="1" t="s">
        <v>55</v>
      </c>
    </row>
    <row r="120" spans="1:11">
      <c r="A120" s="1" t="str">
        <f t="shared" si="5"/>
        <v/>
      </c>
      <c r="B120" s="1" t="str">
        <f t="shared" si="6"/>
        <v/>
      </c>
      <c r="C120" s="1" t="str">
        <f t="shared" si="7"/>
        <v/>
      </c>
      <c r="D120" s="1" t="str">
        <f t="shared" si="8"/>
        <v/>
      </c>
      <c r="G120" s="1" t="s">
        <v>209</v>
      </c>
      <c r="H120" s="1">
        <v>47.01</v>
      </c>
      <c r="I120" s="1" t="s">
        <v>32</v>
      </c>
      <c r="J120" s="13">
        <f t="shared" si="4"/>
        <v>47.01</v>
      </c>
      <c r="K120" s="1" t="s">
        <v>59</v>
      </c>
    </row>
    <row r="121" spans="1:11">
      <c r="A121" s="1" t="str">
        <f t="shared" si="5"/>
        <v/>
      </c>
      <c r="B121" s="1" t="str">
        <f t="shared" si="6"/>
        <v/>
      </c>
      <c r="C121" s="1" t="str">
        <f t="shared" si="7"/>
        <v/>
      </c>
      <c r="D121" s="1" t="str">
        <f t="shared" si="8"/>
        <v/>
      </c>
      <c r="G121" s="1" t="s">
        <v>390</v>
      </c>
      <c r="H121" s="1">
        <v>58.8</v>
      </c>
      <c r="I121" s="1" t="s">
        <v>32</v>
      </c>
      <c r="J121" s="13">
        <f t="shared" si="4"/>
        <v>58.8</v>
      </c>
      <c r="K121" s="1" t="s">
        <v>24</v>
      </c>
    </row>
    <row r="122" spans="1:11">
      <c r="A122" s="1" t="str">
        <f t="shared" si="5"/>
        <v/>
      </c>
      <c r="B122" s="1" t="str">
        <f t="shared" si="6"/>
        <v/>
      </c>
      <c r="C122" s="1" t="str">
        <f t="shared" si="7"/>
        <v/>
      </c>
      <c r="D122" s="1" t="str">
        <f t="shared" si="8"/>
        <v/>
      </c>
      <c r="G122" s="1" t="s">
        <v>111</v>
      </c>
      <c r="H122" s="1">
        <v>26.7</v>
      </c>
      <c r="I122" s="1" t="s">
        <v>32</v>
      </c>
      <c r="J122" s="13">
        <f t="shared" si="4"/>
        <v>26.7</v>
      </c>
      <c r="K122" s="1" t="s">
        <v>24</v>
      </c>
    </row>
    <row r="123" spans="1:11">
      <c r="A123" s="1" t="str">
        <f t="shared" si="5"/>
        <v/>
      </c>
      <c r="B123" s="1" t="str">
        <f t="shared" si="6"/>
        <v/>
      </c>
      <c r="C123" s="1" t="str">
        <f t="shared" si="7"/>
        <v/>
      </c>
      <c r="D123" s="1" t="str">
        <f t="shared" si="8"/>
        <v/>
      </c>
      <c r="G123" s="1" t="s">
        <v>87</v>
      </c>
      <c r="H123" s="1">
        <v>50.24</v>
      </c>
      <c r="I123" s="1" t="s">
        <v>32</v>
      </c>
      <c r="J123" s="13">
        <f t="shared" si="4"/>
        <v>50.24</v>
      </c>
      <c r="K123" s="1" t="s">
        <v>24</v>
      </c>
    </row>
    <row r="124" spans="1:11">
      <c r="A124" s="1" t="str">
        <f t="shared" si="5"/>
        <v/>
      </c>
      <c r="B124" s="1" t="str">
        <f t="shared" si="6"/>
        <v/>
      </c>
      <c r="C124" s="1" t="str">
        <f t="shared" si="7"/>
        <v/>
      </c>
      <c r="D124" s="1" t="str">
        <f t="shared" si="8"/>
        <v/>
      </c>
      <c r="G124" s="1" t="s">
        <v>111</v>
      </c>
      <c r="H124" s="1">
        <v>28.2</v>
      </c>
      <c r="I124" s="1" t="s">
        <v>32</v>
      </c>
      <c r="J124" s="13">
        <f t="shared" si="4"/>
        <v>28.2</v>
      </c>
      <c r="K124" s="1" t="s">
        <v>24</v>
      </c>
    </row>
    <row r="125" spans="1:11">
      <c r="A125" s="1" t="str">
        <f t="shared" si="5"/>
        <v/>
      </c>
      <c r="B125" s="1" t="str">
        <f t="shared" si="6"/>
        <v/>
      </c>
      <c r="C125" s="1" t="str">
        <f t="shared" si="7"/>
        <v/>
      </c>
      <c r="D125" s="1" t="str">
        <f t="shared" si="8"/>
        <v/>
      </c>
      <c r="G125" s="1" t="s">
        <v>81</v>
      </c>
      <c r="H125" s="1">
        <v>31.74</v>
      </c>
      <c r="I125" s="1" t="s">
        <v>32</v>
      </c>
      <c r="J125" s="13">
        <f t="shared" si="4"/>
        <v>31.74</v>
      </c>
      <c r="K125" s="1" t="s">
        <v>89</v>
      </c>
    </row>
    <row r="126" spans="1:11">
      <c r="A126" s="1" t="str">
        <f t="shared" si="5"/>
        <v/>
      </c>
      <c r="B126" s="1" t="str">
        <f t="shared" si="6"/>
        <v/>
      </c>
      <c r="C126" s="1" t="str">
        <f t="shared" si="7"/>
        <v/>
      </c>
      <c r="D126" s="1" t="str">
        <f t="shared" si="8"/>
        <v/>
      </c>
      <c r="G126" s="1" t="s">
        <v>126</v>
      </c>
      <c r="H126" s="1">
        <v>9</v>
      </c>
      <c r="I126" s="1" t="s">
        <v>32</v>
      </c>
      <c r="J126" s="13">
        <f t="shared" si="4"/>
        <v>9</v>
      </c>
      <c r="K126" s="1" t="s">
        <v>55</v>
      </c>
    </row>
    <row r="127" spans="1:11">
      <c r="A127" s="1" t="str">
        <f t="shared" si="5"/>
        <v/>
      </c>
      <c r="B127" s="1" t="str">
        <f t="shared" si="6"/>
        <v/>
      </c>
      <c r="C127" s="1" t="str">
        <f t="shared" si="7"/>
        <v/>
      </c>
      <c r="D127" s="1" t="str">
        <f t="shared" si="8"/>
        <v/>
      </c>
      <c r="G127" s="1" t="s">
        <v>131</v>
      </c>
      <c r="H127" s="1">
        <v>264</v>
      </c>
      <c r="I127" s="1" t="s">
        <v>32</v>
      </c>
      <c r="J127" s="13">
        <f t="shared" si="4"/>
        <v>264</v>
      </c>
      <c r="K127" s="1" t="s">
        <v>98</v>
      </c>
    </row>
    <row r="128" spans="1:11">
      <c r="A128" s="1" t="str">
        <f t="shared" si="5"/>
        <v/>
      </c>
      <c r="B128" s="1" t="str">
        <f t="shared" si="6"/>
        <v/>
      </c>
      <c r="C128" s="1" t="str">
        <f t="shared" si="7"/>
        <v/>
      </c>
      <c r="D128" s="1" t="str">
        <f t="shared" si="8"/>
        <v/>
      </c>
      <c r="G128" s="1" t="s">
        <v>94</v>
      </c>
      <c r="H128" s="1">
        <v>71.44</v>
      </c>
      <c r="I128" s="1" t="s">
        <v>32</v>
      </c>
      <c r="J128" s="13">
        <f t="shared" si="4"/>
        <v>71.44</v>
      </c>
      <c r="K128" s="1" t="s">
        <v>98</v>
      </c>
    </row>
    <row r="129" spans="1:11">
      <c r="A129" s="1" t="str">
        <f t="shared" si="5"/>
        <v/>
      </c>
      <c r="B129" s="1" t="str">
        <f t="shared" si="6"/>
        <v/>
      </c>
      <c r="C129" s="1" t="str">
        <f t="shared" si="7"/>
        <v/>
      </c>
      <c r="D129" s="1" t="str">
        <f t="shared" si="8"/>
        <v/>
      </c>
      <c r="G129" s="1" t="s">
        <v>284</v>
      </c>
      <c r="H129" s="1">
        <v>25</v>
      </c>
      <c r="I129" s="1" t="s">
        <v>32</v>
      </c>
      <c r="J129" s="13">
        <f t="shared" si="4"/>
        <v>25</v>
      </c>
      <c r="K129" s="1" t="s">
        <v>59</v>
      </c>
    </row>
    <row r="130" spans="1:11">
      <c r="A130" s="1" t="str">
        <f t="shared" si="5"/>
        <v/>
      </c>
      <c r="B130" s="1" t="str">
        <f t="shared" si="6"/>
        <v/>
      </c>
      <c r="C130" s="1" t="str">
        <f t="shared" si="7"/>
        <v/>
      </c>
      <c r="D130" s="1" t="str">
        <f t="shared" si="8"/>
        <v/>
      </c>
      <c r="G130" s="1" t="s">
        <v>393</v>
      </c>
      <c r="H130" s="1">
        <v>39</v>
      </c>
      <c r="I130" s="1" t="s">
        <v>32</v>
      </c>
      <c r="J130" s="13">
        <f t="shared" si="4"/>
        <v>39</v>
      </c>
      <c r="K130" s="1" t="s">
        <v>29</v>
      </c>
    </row>
    <row r="131" spans="1:11">
      <c r="A131" s="1" t="str">
        <f t="shared" si="5"/>
        <v/>
      </c>
      <c r="B131" s="1" t="str">
        <f t="shared" si="6"/>
        <v/>
      </c>
      <c r="C131" s="1" t="str">
        <f t="shared" si="7"/>
        <v/>
      </c>
      <c r="D131" s="1" t="str">
        <f t="shared" si="8"/>
        <v/>
      </c>
      <c r="G131" s="1" t="s">
        <v>394</v>
      </c>
      <c r="H131" s="1">
        <v>53.6</v>
      </c>
      <c r="I131" s="1" t="s">
        <v>32</v>
      </c>
      <c r="J131" s="13">
        <f t="shared" si="4"/>
        <v>53.6</v>
      </c>
      <c r="K131" s="1" t="s">
        <v>26</v>
      </c>
    </row>
    <row r="132" spans="1:11">
      <c r="A132" s="1" t="str">
        <f t="shared" si="5"/>
        <v/>
      </c>
      <c r="B132" s="1" t="str">
        <f t="shared" si="6"/>
        <v/>
      </c>
      <c r="C132" s="1" t="str">
        <f t="shared" si="7"/>
        <v/>
      </c>
      <c r="D132" s="1" t="str">
        <f t="shared" si="8"/>
        <v/>
      </c>
      <c r="G132" s="1" t="s">
        <v>229</v>
      </c>
      <c r="H132" s="1">
        <v>41.92</v>
      </c>
      <c r="I132" s="1" t="s">
        <v>32</v>
      </c>
      <c r="J132" s="13">
        <f t="shared" si="4"/>
        <v>41.92</v>
      </c>
      <c r="K132" s="1" t="s">
        <v>24</v>
      </c>
    </row>
    <row r="133" spans="1:11">
      <c r="A133" s="1" t="str">
        <f t="shared" si="5"/>
        <v/>
      </c>
      <c r="B133" s="1" t="str">
        <f t="shared" si="6"/>
        <v/>
      </c>
      <c r="C133" s="1" t="str">
        <f t="shared" si="7"/>
        <v/>
      </c>
      <c r="D133" s="1" t="str">
        <f t="shared" si="8"/>
        <v/>
      </c>
      <c r="G133" s="1" t="s">
        <v>396</v>
      </c>
      <c r="H133" s="1">
        <v>19.899999999999999</v>
      </c>
      <c r="I133" s="1" t="s">
        <v>32</v>
      </c>
      <c r="J133" s="13">
        <f t="shared" si="4"/>
        <v>19.899999999999999</v>
      </c>
      <c r="K133" s="1" t="s">
        <v>98</v>
      </c>
    </row>
    <row r="134" spans="1:11">
      <c r="A134" s="1" t="str">
        <f t="shared" si="5"/>
        <v/>
      </c>
      <c r="B134" s="1" t="str">
        <f t="shared" si="6"/>
        <v/>
      </c>
      <c r="C134" s="1" t="str">
        <f t="shared" si="7"/>
        <v/>
      </c>
      <c r="D134" s="1" t="str">
        <f t="shared" si="8"/>
        <v/>
      </c>
      <c r="G134" s="1" t="s">
        <v>346</v>
      </c>
      <c r="H134" s="1">
        <v>7.28</v>
      </c>
      <c r="I134" s="1" t="s">
        <v>32</v>
      </c>
      <c r="J134" s="13">
        <f t="shared" si="4"/>
        <v>7.28</v>
      </c>
      <c r="K134" s="1" t="s">
        <v>24</v>
      </c>
    </row>
    <row r="135" spans="1:11">
      <c r="A135" s="1" t="str">
        <f t="shared" si="5"/>
        <v/>
      </c>
      <c r="B135" s="1" t="str">
        <f t="shared" si="6"/>
        <v/>
      </c>
      <c r="C135" s="1" t="str">
        <f t="shared" si="7"/>
        <v/>
      </c>
      <c r="D135" s="1" t="str">
        <f t="shared" si="8"/>
        <v/>
      </c>
      <c r="G135" s="1" t="s">
        <v>238</v>
      </c>
      <c r="H135" s="1">
        <v>8.99</v>
      </c>
      <c r="I135" s="1" t="s">
        <v>32</v>
      </c>
      <c r="J135" s="13">
        <f t="shared" si="4"/>
        <v>8.99</v>
      </c>
      <c r="K135" s="1" t="s">
        <v>44</v>
      </c>
    </row>
    <row r="136" spans="1:11">
      <c r="A136" s="1" t="str">
        <f t="shared" si="5"/>
        <v/>
      </c>
      <c r="B136" s="1" t="str">
        <f t="shared" si="6"/>
        <v/>
      </c>
      <c r="C136" s="1" t="str">
        <f t="shared" si="7"/>
        <v/>
      </c>
      <c r="D136" s="1" t="str">
        <f t="shared" si="8"/>
        <v/>
      </c>
      <c r="G136" s="1" t="s">
        <v>398</v>
      </c>
      <c r="H136" s="1">
        <v>25</v>
      </c>
      <c r="I136" s="1" t="s">
        <v>32</v>
      </c>
      <c r="J136" s="13">
        <f t="shared" si="4"/>
        <v>25</v>
      </c>
      <c r="K136" s="1" t="s">
        <v>55</v>
      </c>
    </row>
    <row r="137" spans="1:11">
      <c r="A137" s="1" t="str">
        <f t="shared" si="5"/>
        <v>Reste prévu</v>
      </c>
      <c r="B137" s="1" t="e">
        <f t="shared" si="6"/>
        <v>#REF!</v>
      </c>
      <c r="C137" s="1" t="str">
        <f t="shared" si="7"/>
        <v>Reste réel</v>
      </c>
      <c r="D137" s="1" t="e">
        <f t="shared" si="8"/>
        <v>#REF!</v>
      </c>
      <c r="J137" s="13">
        <f t="shared" si="4"/>
        <v>0</v>
      </c>
      <c r="K137" s="1" t="s">
        <v>24</v>
      </c>
    </row>
    <row r="138" spans="1:11">
      <c r="A138" s="1" t="str">
        <f t="shared" si="5"/>
        <v/>
      </c>
      <c r="B138" s="1" t="str">
        <f t="shared" si="6"/>
        <v/>
      </c>
      <c r="C138" s="1" t="str">
        <f t="shared" si="7"/>
        <v/>
      </c>
      <c r="D138" s="1" t="str">
        <f t="shared" si="8"/>
        <v/>
      </c>
      <c r="J138" s="13">
        <f t="shared" si="4"/>
        <v>0</v>
      </c>
      <c r="K138" s="1" t="s">
        <v>24</v>
      </c>
    </row>
    <row r="139" spans="1:11">
      <c r="A139" s="1" t="str">
        <f t="shared" si="5"/>
        <v/>
      </c>
      <c r="B139" s="1" t="str">
        <f t="shared" si="6"/>
        <v/>
      </c>
      <c r="C139" s="1" t="str">
        <f t="shared" si="7"/>
        <v/>
      </c>
      <c r="D139" s="1" t="str">
        <f t="shared" si="8"/>
        <v/>
      </c>
      <c r="J139" s="13">
        <f t="shared" si="4"/>
        <v>0</v>
      </c>
      <c r="K139" s="1" t="s">
        <v>59</v>
      </c>
    </row>
    <row r="140" spans="1:11">
      <c r="A140" s="1" t="str">
        <f t="shared" si="5"/>
        <v/>
      </c>
      <c r="B140" s="1" t="str">
        <f t="shared" si="6"/>
        <v/>
      </c>
      <c r="C140" s="1" t="str">
        <f t="shared" si="7"/>
        <v/>
      </c>
      <c r="D140" s="1" t="str">
        <f t="shared" si="8"/>
        <v/>
      </c>
      <c r="J140" s="13">
        <f t="shared" si="4"/>
        <v>0</v>
      </c>
      <c r="K140" s="1" t="s">
        <v>24</v>
      </c>
    </row>
    <row r="141" spans="1:11">
      <c r="A141" s="1" t="str">
        <f t="shared" si="5"/>
        <v/>
      </c>
      <c r="B141" s="1" t="str">
        <f t="shared" si="6"/>
        <v/>
      </c>
      <c r="C141" s="1" t="str">
        <f t="shared" si="7"/>
        <v/>
      </c>
      <c r="D141" s="1" t="str">
        <f t="shared" si="8"/>
        <v/>
      </c>
      <c r="J141" s="13">
        <f t="shared" si="4"/>
        <v>0</v>
      </c>
      <c r="K141" s="1" t="s">
        <v>29</v>
      </c>
    </row>
    <row r="142" spans="1:11">
      <c r="A142" s="1" t="str">
        <f t="shared" si="5"/>
        <v/>
      </c>
      <c r="B142" s="1" t="str">
        <f t="shared" si="6"/>
        <v/>
      </c>
      <c r="C142" s="1" t="str">
        <f t="shared" si="7"/>
        <v/>
      </c>
      <c r="D142" s="1" t="str">
        <f t="shared" si="8"/>
        <v/>
      </c>
      <c r="J142" s="13">
        <f t="shared" si="4"/>
        <v>0</v>
      </c>
      <c r="K142" s="1" t="s">
        <v>29</v>
      </c>
    </row>
    <row r="143" spans="1:11">
      <c r="A143" s="1" t="str">
        <f t="shared" si="5"/>
        <v/>
      </c>
      <c r="B143" s="1" t="str">
        <f t="shared" si="6"/>
        <v/>
      </c>
      <c r="C143" s="1" t="str">
        <f t="shared" si="7"/>
        <v/>
      </c>
      <c r="D143" s="1" t="str">
        <f t="shared" si="8"/>
        <v/>
      </c>
      <c r="J143" s="13">
        <f t="shared" si="4"/>
        <v>0</v>
      </c>
      <c r="K143" s="1" t="s">
        <v>29</v>
      </c>
    </row>
    <row r="144" spans="1:11">
      <c r="A144" s="1" t="str">
        <f t="shared" si="5"/>
        <v/>
      </c>
      <c r="B144" s="1" t="str">
        <f t="shared" si="6"/>
        <v/>
      </c>
      <c r="C144" s="1" t="str">
        <f t="shared" si="7"/>
        <v/>
      </c>
      <c r="D144" s="1" t="str">
        <f t="shared" si="8"/>
        <v/>
      </c>
      <c r="J144" s="13">
        <f t="shared" si="4"/>
        <v>0</v>
      </c>
      <c r="K144" s="1" t="s">
        <v>29</v>
      </c>
    </row>
    <row r="145" spans="1:11">
      <c r="A145" s="1" t="str">
        <f t="shared" si="5"/>
        <v/>
      </c>
      <c r="B145" s="1" t="str">
        <f t="shared" si="6"/>
        <v/>
      </c>
      <c r="C145" s="1" t="str">
        <f t="shared" si="7"/>
        <v/>
      </c>
      <c r="D145" s="1" t="str">
        <f t="shared" si="8"/>
        <v/>
      </c>
      <c r="J145" s="13">
        <f t="shared" si="4"/>
        <v>0</v>
      </c>
      <c r="K145" s="1" t="s">
        <v>24</v>
      </c>
    </row>
    <row r="146" spans="1:11">
      <c r="A146" s="1" t="str">
        <f t="shared" si="5"/>
        <v/>
      </c>
      <c r="B146" s="1" t="str">
        <f t="shared" si="6"/>
        <v/>
      </c>
      <c r="C146" s="1" t="str">
        <f t="shared" si="7"/>
        <v/>
      </c>
      <c r="D146" s="1" t="str">
        <f t="shared" si="8"/>
        <v/>
      </c>
      <c r="J146" s="13">
        <f t="shared" si="4"/>
        <v>0</v>
      </c>
      <c r="K146" s="1" t="s">
        <v>29</v>
      </c>
    </row>
    <row r="147" spans="1:11">
      <c r="A147" s="1" t="str">
        <f t="shared" si="5"/>
        <v/>
      </c>
      <c r="B147" s="1" t="str">
        <f t="shared" si="6"/>
        <v/>
      </c>
      <c r="C147" s="1" t="str">
        <f t="shared" si="7"/>
        <v/>
      </c>
      <c r="D147" s="1" t="str">
        <f t="shared" si="8"/>
        <v/>
      </c>
      <c r="J147" s="13">
        <f t="shared" si="4"/>
        <v>0</v>
      </c>
      <c r="K147" s="1"/>
    </row>
    <row r="148" spans="1:11">
      <c r="A148" s="1" t="str">
        <f t="shared" si="5"/>
        <v/>
      </c>
      <c r="B148" s="1" t="str">
        <f t="shared" si="6"/>
        <v/>
      </c>
      <c r="C148" s="1" t="str">
        <f t="shared" si="7"/>
        <v/>
      </c>
      <c r="D148" s="1" t="str">
        <f t="shared" si="8"/>
        <v/>
      </c>
      <c r="J148" s="13">
        <f t="shared" si="4"/>
        <v>0</v>
      </c>
      <c r="K148" s="1"/>
    </row>
    <row r="149" spans="1:11">
      <c r="A149" s="1" t="str">
        <f t="shared" si="5"/>
        <v/>
      </c>
      <c r="B149" s="1" t="str">
        <f t="shared" si="6"/>
        <v/>
      </c>
      <c r="C149" s="1" t="str">
        <f t="shared" si="7"/>
        <v/>
      </c>
      <c r="D149" s="1" t="str">
        <f t="shared" si="8"/>
        <v/>
      </c>
      <c r="J149" s="13">
        <f t="shared" si="4"/>
        <v>0</v>
      </c>
      <c r="K149" s="1"/>
    </row>
    <row r="150" spans="1:11">
      <c r="A150" s="1" t="str">
        <f t="shared" si="5"/>
        <v/>
      </c>
      <c r="B150" s="1" t="str">
        <f t="shared" si="6"/>
        <v/>
      </c>
      <c r="C150" s="1" t="str">
        <f t="shared" si="7"/>
        <v/>
      </c>
      <c r="D150" s="1" t="str">
        <f t="shared" si="8"/>
        <v/>
      </c>
      <c r="J150" s="13">
        <f t="shared" si="4"/>
        <v>0</v>
      </c>
      <c r="K150" s="1"/>
    </row>
    <row r="151" spans="1:11">
      <c r="A151" s="1" t="str">
        <f t="shared" si="5"/>
        <v/>
      </c>
      <c r="B151" s="1" t="str">
        <f t="shared" si="6"/>
        <v/>
      </c>
      <c r="C151" s="1" t="str">
        <f t="shared" si="7"/>
        <v/>
      </c>
      <c r="D151" s="1" t="str">
        <f t="shared" si="8"/>
        <v/>
      </c>
      <c r="J151" s="13">
        <f t="shared" si="4"/>
        <v>0</v>
      </c>
      <c r="K151" s="1"/>
    </row>
    <row r="152" spans="1:11">
      <c r="A152" s="1" t="str">
        <f t="shared" si="5"/>
        <v/>
      </c>
      <c r="B152" s="1" t="str">
        <f t="shared" si="6"/>
        <v/>
      </c>
      <c r="C152" s="1" t="str">
        <f t="shared" si="7"/>
        <v/>
      </c>
      <c r="D152" s="1" t="str">
        <f t="shared" si="8"/>
        <v/>
      </c>
      <c r="J152" s="13">
        <f t="shared" si="4"/>
        <v>0</v>
      </c>
      <c r="K152" s="1"/>
    </row>
    <row r="153" spans="1:11">
      <c r="A153" s="1" t="str">
        <f t="shared" si="5"/>
        <v/>
      </c>
      <c r="B153" s="1" t="str">
        <f t="shared" si="6"/>
        <v/>
      </c>
      <c r="C153" s="1" t="str">
        <f t="shared" si="7"/>
        <v/>
      </c>
      <c r="D153" s="1" t="str">
        <f t="shared" si="8"/>
        <v/>
      </c>
      <c r="J153" s="13">
        <f t="shared" si="4"/>
        <v>0</v>
      </c>
      <c r="K153" s="1"/>
    </row>
    <row r="154" spans="1:11">
      <c r="A154" s="1" t="str">
        <f t="shared" si="5"/>
        <v/>
      </c>
      <c r="B154" s="1" t="str">
        <f t="shared" si="6"/>
        <v/>
      </c>
      <c r="C154" s="1" t="str">
        <f t="shared" si="7"/>
        <v/>
      </c>
      <c r="D154" s="1" t="str">
        <f t="shared" si="8"/>
        <v/>
      </c>
      <c r="J154" s="13">
        <f t="shared" si="4"/>
        <v>0</v>
      </c>
      <c r="K154" s="1"/>
    </row>
    <row r="155" spans="1:11">
      <c r="A155" s="1" t="str">
        <f t="shared" si="5"/>
        <v/>
      </c>
      <c r="B155" s="1" t="str">
        <f t="shared" si="6"/>
        <v/>
      </c>
      <c r="C155" s="1" t="str">
        <f t="shared" si="7"/>
        <v/>
      </c>
      <c r="D155" s="1" t="str">
        <f t="shared" si="8"/>
        <v/>
      </c>
      <c r="J155" s="13">
        <f t="shared" si="4"/>
        <v>0</v>
      </c>
      <c r="K155" s="1"/>
    </row>
    <row r="156" spans="1:11">
      <c r="A156" s="1" t="str">
        <f t="shared" si="5"/>
        <v/>
      </c>
      <c r="B156" s="1" t="str">
        <f t="shared" si="6"/>
        <v/>
      </c>
      <c r="C156" s="1" t="str">
        <f t="shared" si="7"/>
        <v/>
      </c>
      <c r="D156" s="1" t="str">
        <f t="shared" si="8"/>
        <v/>
      </c>
      <c r="J156" s="13">
        <f t="shared" si="4"/>
        <v>0</v>
      </c>
      <c r="K156" s="1"/>
    </row>
    <row r="157" spans="1:11">
      <c r="A157" s="1" t="str">
        <f t="shared" si="5"/>
        <v/>
      </c>
      <c r="B157" s="1" t="str">
        <f t="shared" si="6"/>
        <v/>
      </c>
      <c r="C157" s="1" t="str">
        <f t="shared" si="7"/>
        <v/>
      </c>
      <c r="D157" s="1" t="str">
        <f t="shared" si="8"/>
        <v/>
      </c>
      <c r="J157" s="13">
        <f t="shared" si="4"/>
        <v>0</v>
      </c>
      <c r="K157" s="1"/>
    </row>
    <row r="158" spans="1:11">
      <c r="A158" s="1" t="str">
        <f t="shared" si="5"/>
        <v/>
      </c>
      <c r="B158" s="1" t="str">
        <f t="shared" si="6"/>
        <v/>
      </c>
      <c r="C158" s="1" t="str">
        <f t="shared" si="7"/>
        <v/>
      </c>
      <c r="D158" s="1" t="str">
        <f t="shared" si="8"/>
        <v/>
      </c>
      <c r="J158" s="13">
        <f t="shared" si="4"/>
        <v>0</v>
      </c>
      <c r="K158" s="1"/>
    </row>
    <row r="159" spans="1:11">
      <c r="A159" s="1" t="str">
        <f t="shared" si="5"/>
        <v/>
      </c>
      <c r="B159" s="1" t="str">
        <f t="shared" si="6"/>
        <v/>
      </c>
      <c r="C159" s="1" t="str">
        <f t="shared" si="7"/>
        <v/>
      </c>
      <c r="D159" s="1" t="str">
        <f t="shared" si="8"/>
        <v/>
      </c>
      <c r="J159" s="13">
        <f t="shared" si="4"/>
        <v>0</v>
      </c>
    </row>
    <row r="160" spans="1:11">
      <c r="A160" s="1" t="str">
        <f t="shared" si="5"/>
        <v/>
      </c>
      <c r="B160" s="1" t="str">
        <f t="shared" si="6"/>
        <v/>
      </c>
      <c r="C160" s="1" t="str">
        <f t="shared" si="7"/>
        <v/>
      </c>
      <c r="D160" s="1" t="str">
        <f t="shared" si="8"/>
        <v/>
      </c>
      <c r="J160" s="13">
        <f t="shared" si="4"/>
        <v>0</v>
      </c>
    </row>
    <row r="161" spans="1:11">
      <c r="A161" s="1" t="str">
        <f t="shared" si="5"/>
        <v/>
      </c>
      <c r="B161" s="1" t="str">
        <f t="shared" si="6"/>
        <v/>
      </c>
      <c r="C161" s="1" t="str">
        <f t="shared" si="7"/>
        <v/>
      </c>
      <c r="D161" s="1" t="str">
        <f t="shared" si="8"/>
        <v/>
      </c>
      <c r="J161" s="13">
        <f t="shared" si="4"/>
        <v>0</v>
      </c>
    </row>
    <row r="162" spans="1:11">
      <c r="A162" s="1" t="str">
        <f t="shared" si="5"/>
        <v/>
      </c>
      <c r="B162" s="1" t="str">
        <f t="shared" si="6"/>
        <v/>
      </c>
      <c r="C162" s="1" t="str">
        <f t="shared" si="7"/>
        <v/>
      </c>
      <c r="D162" s="1" t="str">
        <f t="shared" si="8"/>
        <v/>
      </c>
      <c r="J162" s="13">
        <f t="shared" si="4"/>
        <v>0</v>
      </c>
      <c r="K162" s="1"/>
    </row>
    <row r="163" spans="1:11">
      <c r="A163" s="1" t="str">
        <f t="shared" si="5"/>
        <v/>
      </c>
      <c r="B163" s="1" t="str">
        <f t="shared" si="6"/>
        <v/>
      </c>
      <c r="C163" s="1" t="str">
        <f t="shared" si="7"/>
        <v/>
      </c>
      <c r="D163" s="1" t="str">
        <f t="shared" si="8"/>
        <v/>
      </c>
      <c r="J163" s="13">
        <f t="shared" si="4"/>
        <v>0</v>
      </c>
      <c r="K163" s="1"/>
    </row>
    <row r="164" spans="1:11">
      <c r="A164" s="1" t="str">
        <f t="shared" si="5"/>
        <v/>
      </c>
      <c r="B164" s="1" t="str">
        <f t="shared" si="6"/>
        <v/>
      </c>
      <c r="C164" s="1" t="str">
        <f t="shared" si="7"/>
        <v/>
      </c>
      <c r="D164" s="1" t="str">
        <f t="shared" si="8"/>
        <v/>
      </c>
      <c r="J164" s="13">
        <f t="shared" si="4"/>
        <v>0</v>
      </c>
      <c r="K164" s="1"/>
    </row>
    <row r="165" spans="1:11">
      <c r="A165" s="1" t="str">
        <f t="shared" si="5"/>
        <v/>
      </c>
      <c r="B165" s="1" t="str">
        <f t="shared" si="6"/>
        <v/>
      </c>
      <c r="C165" s="1" t="str">
        <f t="shared" si="7"/>
        <v/>
      </c>
      <c r="D165" s="1" t="str">
        <f t="shared" si="8"/>
        <v/>
      </c>
      <c r="J165" s="13">
        <f t="shared" si="4"/>
        <v>0</v>
      </c>
      <c r="K165" s="1"/>
    </row>
    <row r="166" spans="1:11">
      <c r="A166" s="1" t="str">
        <f t="shared" si="5"/>
        <v/>
      </c>
      <c r="B166" s="1" t="str">
        <f t="shared" si="6"/>
        <v/>
      </c>
      <c r="C166" s="1" t="str">
        <f t="shared" si="7"/>
        <v/>
      </c>
      <c r="D166" s="1" t="str">
        <f t="shared" si="8"/>
        <v/>
      </c>
      <c r="J166" s="13">
        <f t="shared" si="4"/>
        <v>0</v>
      </c>
      <c r="K166" s="1"/>
    </row>
    <row r="167" spans="1:11">
      <c r="A167" s="1" t="str">
        <f t="shared" si="5"/>
        <v/>
      </c>
      <c r="B167" s="1" t="str">
        <f t="shared" si="6"/>
        <v/>
      </c>
      <c r="C167" s="1" t="str">
        <f t="shared" si="7"/>
        <v/>
      </c>
      <c r="D167" s="1" t="str">
        <f t="shared" si="8"/>
        <v/>
      </c>
      <c r="J167" s="13">
        <f t="shared" si="4"/>
        <v>0</v>
      </c>
      <c r="K167" s="1"/>
    </row>
    <row r="168" spans="1:11">
      <c r="A168" s="1" t="str">
        <f t="shared" si="5"/>
        <v/>
      </c>
      <c r="B168" s="1" t="str">
        <f t="shared" si="6"/>
        <v/>
      </c>
      <c r="C168" s="1" t="str">
        <f t="shared" si="7"/>
        <v/>
      </c>
      <c r="D168" s="1" t="str">
        <f t="shared" si="8"/>
        <v/>
      </c>
      <c r="J168" s="13">
        <f t="shared" si="4"/>
        <v>0</v>
      </c>
      <c r="K168" s="1"/>
    </row>
    <row r="169" spans="1:11">
      <c r="A169" s="1" t="str">
        <f t="shared" si="5"/>
        <v/>
      </c>
      <c r="B169" s="1" t="str">
        <f t="shared" si="6"/>
        <v/>
      </c>
      <c r="C169" s="1" t="str">
        <f t="shared" si="7"/>
        <v/>
      </c>
      <c r="D169" s="1" t="str">
        <f t="shared" si="8"/>
        <v/>
      </c>
      <c r="J169" s="13">
        <f t="shared" si="4"/>
        <v>0</v>
      </c>
      <c r="K169" s="1"/>
    </row>
    <row r="170" spans="1:11">
      <c r="A170" s="1" t="str">
        <f t="shared" si="5"/>
        <v/>
      </c>
      <c r="B170" s="1" t="str">
        <f t="shared" si="6"/>
        <v/>
      </c>
      <c r="C170" s="1" t="str">
        <f t="shared" si="7"/>
        <v/>
      </c>
      <c r="D170" s="1" t="str">
        <f t="shared" si="8"/>
        <v/>
      </c>
      <c r="J170" s="13">
        <f t="shared" si="4"/>
        <v>0</v>
      </c>
      <c r="K170" s="1"/>
    </row>
    <row r="171" spans="1:11">
      <c r="A171" s="1" t="str">
        <f t="shared" si="5"/>
        <v/>
      </c>
      <c r="B171" s="1" t="str">
        <f t="shared" si="6"/>
        <v/>
      </c>
      <c r="C171" s="1" t="str">
        <f t="shared" si="7"/>
        <v/>
      </c>
      <c r="D171" s="1" t="str">
        <f t="shared" si="8"/>
        <v/>
      </c>
      <c r="J171" s="13">
        <f t="shared" si="4"/>
        <v>0</v>
      </c>
      <c r="K171" s="1"/>
    </row>
    <row r="172" spans="1:11">
      <c r="A172" s="1" t="str">
        <f t="shared" si="5"/>
        <v/>
      </c>
      <c r="B172" s="1" t="str">
        <f t="shared" si="6"/>
        <v/>
      </c>
      <c r="C172" s="1" t="str">
        <f t="shared" si="7"/>
        <v/>
      </c>
      <c r="D172" s="1" t="str">
        <f t="shared" si="8"/>
        <v/>
      </c>
      <c r="J172" s="13">
        <f t="shared" si="4"/>
        <v>0</v>
      </c>
      <c r="K172" s="1"/>
    </row>
    <row r="173" spans="1:11">
      <c r="A173" s="1" t="str">
        <f t="shared" si="5"/>
        <v/>
      </c>
      <c r="B173" s="1" t="str">
        <f t="shared" si="6"/>
        <v/>
      </c>
      <c r="C173" s="1" t="str">
        <f t="shared" si="7"/>
        <v/>
      </c>
      <c r="D173" s="1" t="str">
        <f t="shared" si="8"/>
        <v/>
      </c>
      <c r="J173" s="13">
        <f t="shared" si="4"/>
        <v>0</v>
      </c>
      <c r="K173" s="1"/>
    </row>
    <row r="174" spans="1:11">
      <c r="A174" s="1" t="str">
        <f t="shared" si="5"/>
        <v/>
      </c>
      <c r="B174" s="1" t="str">
        <f t="shared" si="6"/>
        <v/>
      </c>
      <c r="C174" s="1" t="str">
        <f t="shared" si="7"/>
        <v/>
      </c>
      <c r="D174" s="1" t="str">
        <f t="shared" si="8"/>
        <v/>
      </c>
      <c r="J174" s="13">
        <f t="shared" si="4"/>
        <v>0</v>
      </c>
      <c r="K174" s="1"/>
    </row>
    <row r="175" spans="1:11">
      <c r="A175" s="1" t="str">
        <f t="shared" si="5"/>
        <v/>
      </c>
      <c r="B175" s="1" t="str">
        <f t="shared" si="6"/>
        <v/>
      </c>
      <c r="C175" s="1" t="str">
        <f t="shared" si="7"/>
        <v/>
      </c>
      <c r="D175" s="1" t="str">
        <f t="shared" si="8"/>
        <v/>
      </c>
      <c r="J175" s="13">
        <f t="shared" si="4"/>
        <v>0</v>
      </c>
      <c r="K175" s="1"/>
    </row>
    <row r="176" spans="1:11">
      <c r="A176" s="1" t="str">
        <f t="shared" si="5"/>
        <v/>
      </c>
      <c r="B176" s="1" t="str">
        <f t="shared" si="6"/>
        <v/>
      </c>
      <c r="C176" s="1" t="str">
        <f t="shared" si="7"/>
        <v/>
      </c>
      <c r="D176" s="1" t="str">
        <f t="shared" si="8"/>
        <v/>
      </c>
      <c r="J176" s="13">
        <f t="shared" si="4"/>
        <v>0</v>
      </c>
      <c r="K176" s="1"/>
    </row>
    <row r="177" spans="1:11">
      <c r="A177" s="1" t="str">
        <f t="shared" si="5"/>
        <v/>
      </c>
      <c r="B177" s="1" t="str">
        <f t="shared" si="6"/>
        <v/>
      </c>
      <c r="C177" s="1" t="str">
        <f t="shared" si="7"/>
        <v/>
      </c>
      <c r="D177" s="1" t="str">
        <f t="shared" si="8"/>
        <v/>
      </c>
      <c r="J177" s="13">
        <f t="shared" si="4"/>
        <v>0</v>
      </c>
      <c r="K177" s="1"/>
    </row>
    <row r="178" spans="1:11">
      <c r="A178" s="1" t="str">
        <f t="shared" si="5"/>
        <v/>
      </c>
      <c r="B178" s="1" t="str">
        <f t="shared" si="6"/>
        <v/>
      </c>
      <c r="C178" s="1" t="str">
        <f t="shared" si="7"/>
        <v/>
      </c>
      <c r="D178" s="1" t="str">
        <f t="shared" si="8"/>
        <v/>
      </c>
      <c r="J178" s="13">
        <f t="shared" si="4"/>
        <v>0</v>
      </c>
      <c r="K178" s="1"/>
    </row>
    <row r="179" spans="1:11">
      <c r="A179" s="1" t="str">
        <f t="shared" si="5"/>
        <v/>
      </c>
      <c r="B179" s="1" t="str">
        <f t="shared" si="6"/>
        <v/>
      </c>
      <c r="C179" s="1" t="str">
        <f t="shared" si="7"/>
        <v/>
      </c>
      <c r="D179" s="1" t="str">
        <f t="shared" si="8"/>
        <v/>
      </c>
      <c r="J179" s="13">
        <f t="shared" si="4"/>
        <v>0</v>
      </c>
      <c r="K179" s="1"/>
    </row>
    <row r="180" spans="1:11">
      <c r="A180" s="1" t="str">
        <f t="shared" si="5"/>
        <v/>
      </c>
      <c r="B180" s="1" t="str">
        <f t="shared" si="6"/>
        <v/>
      </c>
      <c r="C180" s="1" t="str">
        <f t="shared" si="7"/>
        <v/>
      </c>
      <c r="D180" s="1" t="str">
        <f t="shared" si="8"/>
        <v/>
      </c>
      <c r="J180" s="13">
        <f t="shared" si="4"/>
        <v>0</v>
      </c>
      <c r="K180" s="1"/>
    </row>
    <row r="181" spans="1:11">
      <c r="A181" s="1" t="str">
        <f t="shared" si="5"/>
        <v/>
      </c>
      <c r="B181" s="1" t="str">
        <f t="shared" si="6"/>
        <v/>
      </c>
      <c r="C181" s="1" t="str">
        <f t="shared" si="7"/>
        <v/>
      </c>
      <c r="D181" s="1" t="str">
        <f t="shared" si="8"/>
        <v/>
      </c>
      <c r="J181" s="13">
        <f t="shared" si="4"/>
        <v>0</v>
      </c>
      <c r="K181" s="1"/>
    </row>
    <row r="182" spans="1:11">
      <c r="A182" s="1" t="str">
        <f t="shared" si="5"/>
        <v/>
      </c>
      <c r="B182" s="1" t="str">
        <f t="shared" si="6"/>
        <v/>
      </c>
      <c r="C182" s="1" t="str">
        <f t="shared" si="7"/>
        <v/>
      </c>
      <c r="D182" s="1" t="str">
        <f t="shared" si="8"/>
        <v/>
      </c>
      <c r="J182" s="13">
        <f t="shared" si="4"/>
        <v>0</v>
      </c>
      <c r="K182" s="1"/>
    </row>
    <row r="183" spans="1:11">
      <c r="A183" s="1" t="str">
        <f t="shared" si="5"/>
        <v/>
      </c>
      <c r="B183" s="1" t="str">
        <f t="shared" si="6"/>
        <v/>
      </c>
      <c r="C183" s="1" t="str">
        <f t="shared" si="7"/>
        <v/>
      </c>
      <c r="D183" s="1" t="str">
        <f t="shared" si="8"/>
        <v/>
      </c>
      <c r="J183" s="13">
        <f t="shared" si="4"/>
        <v>0</v>
      </c>
      <c r="K183" s="1"/>
    </row>
    <row r="184" spans="1:11">
      <c r="A184" s="1" t="str">
        <f t="shared" si="5"/>
        <v/>
      </c>
      <c r="B184" s="1" t="str">
        <f t="shared" si="6"/>
        <v/>
      </c>
      <c r="C184" s="1" t="str">
        <f t="shared" si="7"/>
        <v/>
      </c>
      <c r="D184" s="1" t="str">
        <f t="shared" si="8"/>
        <v/>
      </c>
      <c r="J184" s="13">
        <f t="shared" si="4"/>
        <v>0</v>
      </c>
      <c r="K184" s="1"/>
    </row>
    <row r="185" spans="1:11">
      <c r="A185" s="1" t="str">
        <f t="shared" si="5"/>
        <v/>
      </c>
      <c r="B185" s="1" t="str">
        <f t="shared" si="6"/>
        <v/>
      </c>
      <c r="C185" s="1" t="str">
        <f t="shared" si="7"/>
        <v/>
      </c>
      <c r="D185" s="1" t="str">
        <f t="shared" si="8"/>
        <v/>
      </c>
      <c r="J185" s="13">
        <f t="shared" si="4"/>
        <v>0</v>
      </c>
      <c r="K185" s="1"/>
    </row>
    <row r="186" spans="1:11">
      <c r="A186" s="1" t="str">
        <f t="shared" si="5"/>
        <v/>
      </c>
      <c r="B186" s="1" t="str">
        <f t="shared" si="6"/>
        <v/>
      </c>
      <c r="C186" s="1" t="str">
        <f t="shared" si="7"/>
        <v/>
      </c>
      <c r="D186" s="1" t="str">
        <f t="shared" si="8"/>
        <v/>
      </c>
      <c r="J186" s="13">
        <f t="shared" si="4"/>
        <v>0</v>
      </c>
      <c r="K186" s="1"/>
    </row>
    <row r="187" spans="1:11">
      <c r="A187" s="1" t="str">
        <f t="shared" si="5"/>
        <v/>
      </c>
      <c r="B187" s="1" t="str">
        <f t="shared" si="6"/>
        <v/>
      </c>
      <c r="C187" s="1" t="str">
        <f t="shared" si="7"/>
        <v/>
      </c>
      <c r="D187" s="1" t="str">
        <f t="shared" si="8"/>
        <v/>
      </c>
      <c r="J187" s="13">
        <f t="shared" si="4"/>
        <v>0</v>
      </c>
      <c r="K187" s="1"/>
    </row>
    <row r="188" spans="1:11">
      <c r="A188" s="1" t="str">
        <f t="shared" si="5"/>
        <v/>
      </c>
      <c r="B188" s="1" t="str">
        <f t="shared" si="6"/>
        <v/>
      </c>
      <c r="C188" s="1" t="str">
        <f t="shared" si="7"/>
        <v/>
      </c>
      <c r="D188" s="1" t="str">
        <f t="shared" si="8"/>
        <v/>
      </c>
      <c r="J188" s="13">
        <f t="shared" si="4"/>
        <v>0</v>
      </c>
      <c r="K188" s="1"/>
    </row>
    <row r="189" spans="1:11">
      <c r="A189" s="1" t="str">
        <f t="shared" si="5"/>
        <v/>
      </c>
      <c r="B189" s="1" t="str">
        <f t="shared" si="6"/>
        <v/>
      </c>
      <c r="C189" s="1" t="str">
        <f t="shared" si="7"/>
        <v/>
      </c>
      <c r="D189" s="1" t="str">
        <f t="shared" si="8"/>
        <v/>
      </c>
      <c r="J189" s="13">
        <f t="shared" si="4"/>
        <v>0</v>
      </c>
      <c r="K189" s="1"/>
    </row>
    <row r="190" spans="1:11">
      <c r="A190" s="1" t="str">
        <f t="shared" si="5"/>
        <v/>
      </c>
      <c r="B190" s="1" t="str">
        <f t="shared" si="6"/>
        <v/>
      </c>
      <c r="C190" s="1" t="str">
        <f t="shared" si="7"/>
        <v/>
      </c>
      <c r="D190" s="1" t="str">
        <f t="shared" si="8"/>
        <v/>
      </c>
      <c r="J190" s="13">
        <f t="shared" si="4"/>
        <v>0</v>
      </c>
      <c r="K190" s="1"/>
    </row>
    <row r="191" spans="1:11">
      <c r="A191" s="1" t="str">
        <f t="shared" si="5"/>
        <v/>
      </c>
      <c r="B191" s="1" t="str">
        <f t="shared" si="6"/>
        <v/>
      </c>
      <c r="C191" s="1" t="str">
        <f t="shared" si="7"/>
        <v/>
      </c>
      <c r="D191" s="1" t="str">
        <f t="shared" si="8"/>
        <v/>
      </c>
      <c r="J191" s="13">
        <f t="shared" si="4"/>
        <v>0</v>
      </c>
      <c r="K191" s="1"/>
    </row>
    <row r="192" spans="1:11">
      <c r="A192" s="1" t="str">
        <f t="shared" si="5"/>
        <v/>
      </c>
      <c r="B192" s="1" t="str">
        <f t="shared" si="6"/>
        <v/>
      </c>
      <c r="C192" s="1" t="str">
        <f t="shared" si="7"/>
        <v/>
      </c>
      <c r="D192" s="1" t="str">
        <f t="shared" si="8"/>
        <v/>
      </c>
      <c r="J192" s="13">
        <f t="shared" si="4"/>
        <v>0</v>
      </c>
      <c r="K192" s="1"/>
    </row>
    <row r="193" spans="1:11">
      <c r="A193" s="1" t="str">
        <f t="shared" si="5"/>
        <v/>
      </c>
      <c r="B193" s="1" t="str">
        <f t="shared" si="6"/>
        <v/>
      </c>
      <c r="C193" s="1" t="str">
        <f t="shared" si="7"/>
        <v/>
      </c>
      <c r="D193" s="1" t="str">
        <f t="shared" si="8"/>
        <v/>
      </c>
      <c r="J193" s="13">
        <f t="shared" si="4"/>
        <v>0</v>
      </c>
      <c r="K193" s="1"/>
    </row>
    <row r="194" spans="1:11">
      <c r="A194" s="1" t="str">
        <f t="shared" si="5"/>
        <v/>
      </c>
      <c r="B194" s="1" t="str">
        <f t="shared" si="6"/>
        <v/>
      </c>
      <c r="C194" s="1" t="str">
        <f t="shared" si="7"/>
        <v/>
      </c>
      <c r="D194" s="1" t="str">
        <f t="shared" si="8"/>
        <v/>
      </c>
      <c r="J194" s="13">
        <f t="shared" si="4"/>
        <v>0</v>
      </c>
      <c r="K194" s="1"/>
    </row>
    <row r="195" spans="1:11">
      <c r="A195" s="1" t="str">
        <f t="shared" si="5"/>
        <v/>
      </c>
      <c r="B195" s="1" t="str">
        <f t="shared" si="6"/>
        <v/>
      </c>
      <c r="C195" s="1" t="str">
        <f t="shared" si="7"/>
        <v/>
      </c>
      <c r="D195" s="1" t="str">
        <f t="shared" si="8"/>
        <v/>
      </c>
      <c r="J195" s="13">
        <f t="shared" si="4"/>
        <v>0</v>
      </c>
      <c r="K195" s="1"/>
    </row>
    <row r="196" spans="1:11">
      <c r="A196" s="1" t="str">
        <f t="shared" si="5"/>
        <v/>
      </c>
      <c r="B196" s="1" t="str">
        <f t="shared" si="6"/>
        <v/>
      </c>
      <c r="C196" s="1" t="str">
        <f t="shared" si="7"/>
        <v/>
      </c>
      <c r="D196" s="1" t="str">
        <f t="shared" si="8"/>
        <v/>
      </c>
      <c r="J196" s="13">
        <f t="shared" si="4"/>
        <v>0</v>
      </c>
      <c r="K196" s="1"/>
    </row>
    <row r="197" spans="1:11">
      <c r="A197" s="1" t="str">
        <f t="shared" si="5"/>
        <v/>
      </c>
      <c r="B197" s="1" t="str">
        <f t="shared" si="6"/>
        <v/>
      </c>
      <c r="C197" s="1" t="str">
        <f t="shared" si="7"/>
        <v/>
      </c>
      <c r="D197" s="1" t="str">
        <f t="shared" si="8"/>
        <v/>
      </c>
      <c r="J197" s="13">
        <f t="shared" si="4"/>
        <v>0</v>
      </c>
      <c r="K197" s="1"/>
    </row>
    <row r="198" spans="1:11">
      <c r="A198" s="1" t="str">
        <f t="shared" si="5"/>
        <v/>
      </c>
      <c r="B198" s="1" t="str">
        <f t="shared" si="6"/>
        <v/>
      </c>
      <c r="C198" s="1" t="str">
        <f t="shared" si="7"/>
        <v/>
      </c>
      <c r="D198" s="1" t="str">
        <f t="shared" si="8"/>
        <v/>
      </c>
      <c r="J198" s="13">
        <f t="shared" si="4"/>
        <v>0</v>
      </c>
      <c r="K198" s="1"/>
    </row>
    <row r="199" spans="1:11">
      <c r="A199" s="1" t="str">
        <f t="shared" si="5"/>
        <v/>
      </c>
      <c r="B199" s="1" t="str">
        <f t="shared" si="6"/>
        <v/>
      </c>
      <c r="C199" s="1" t="str">
        <f t="shared" si="7"/>
        <v/>
      </c>
      <c r="D199" s="1" t="str">
        <f t="shared" si="8"/>
        <v/>
      </c>
      <c r="J199" s="13">
        <f t="shared" si="4"/>
        <v>0</v>
      </c>
      <c r="K199" s="1"/>
    </row>
    <row r="200" spans="1:11">
      <c r="A200" s="1" t="str">
        <f t="shared" si="5"/>
        <v/>
      </c>
      <c r="B200" s="1" t="str">
        <f t="shared" si="6"/>
        <v/>
      </c>
      <c r="C200" s="1" t="str">
        <f t="shared" si="7"/>
        <v/>
      </c>
      <c r="D200" s="1" t="str">
        <f t="shared" si="8"/>
        <v/>
      </c>
      <c r="J200" s="13">
        <f t="shared" si="4"/>
        <v>0</v>
      </c>
      <c r="K200" s="1"/>
    </row>
    <row r="201" spans="1:11">
      <c r="A201" s="1" t="str">
        <f t="shared" si="5"/>
        <v/>
      </c>
      <c r="B201" s="1" t="str">
        <f t="shared" si="6"/>
        <v/>
      </c>
      <c r="C201" s="1" t="str">
        <f t="shared" si="7"/>
        <v/>
      </c>
      <c r="D201" s="1" t="str">
        <f t="shared" si="8"/>
        <v/>
      </c>
      <c r="J201" s="13">
        <f t="shared" si="4"/>
        <v>0</v>
      </c>
      <c r="K201" s="1"/>
    </row>
    <row r="202" spans="1:11">
      <c r="A202" s="1" t="str">
        <f t="shared" si="5"/>
        <v/>
      </c>
      <c r="B202" s="1" t="str">
        <f t="shared" si="6"/>
        <v/>
      </c>
      <c r="C202" s="1" t="str">
        <f t="shared" si="7"/>
        <v/>
      </c>
      <c r="D202" s="1" t="str">
        <f t="shared" si="8"/>
        <v/>
      </c>
      <c r="J202" s="13">
        <f t="shared" si="4"/>
        <v>0</v>
      </c>
      <c r="K202" s="1"/>
    </row>
    <row r="203" spans="1:11">
      <c r="A203" s="1" t="str">
        <f t="shared" si="5"/>
        <v/>
      </c>
      <c r="B203" s="1" t="str">
        <f t="shared" si="6"/>
        <v/>
      </c>
      <c r="C203" s="1" t="str">
        <f t="shared" si="7"/>
        <v/>
      </c>
      <c r="D203" s="1" t="str">
        <f t="shared" si="8"/>
        <v/>
      </c>
      <c r="J203" s="13">
        <f t="shared" si="4"/>
        <v>0</v>
      </c>
      <c r="K203" s="1"/>
    </row>
    <row r="204" spans="1:11">
      <c r="A204" s="1" t="str">
        <f t="shared" si="5"/>
        <v/>
      </c>
      <c r="B204" s="1" t="str">
        <f t="shared" si="6"/>
        <v/>
      </c>
      <c r="C204" s="1" t="str">
        <f t="shared" si="7"/>
        <v/>
      </c>
      <c r="D204" s="1" t="str">
        <f t="shared" si="8"/>
        <v/>
      </c>
      <c r="J204" s="13">
        <f t="shared" si="4"/>
        <v>0</v>
      </c>
      <c r="K204" s="1"/>
    </row>
    <row r="205" spans="1:11">
      <c r="A205" s="1" t="str">
        <f t="shared" si="5"/>
        <v/>
      </c>
      <c r="B205" s="1" t="str">
        <f t="shared" si="6"/>
        <v/>
      </c>
      <c r="C205" s="1" t="str">
        <f t="shared" si="7"/>
        <v/>
      </c>
      <c r="D205" s="1" t="str">
        <f t="shared" si="8"/>
        <v/>
      </c>
      <c r="J205" s="13">
        <f t="shared" si="4"/>
        <v>0</v>
      </c>
      <c r="K205" s="1"/>
    </row>
    <row r="206" spans="1:11">
      <c r="A206" s="1" t="str">
        <f t="shared" si="5"/>
        <v/>
      </c>
      <c r="B206" s="1" t="str">
        <f t="shared" si="6"/>
        <v/>
      </c>
      <c r="C206" s="1" t="str">
        <f t="shared" si="7"/>
        <v/>
      </c>
      <c r="D206" s="1" t="str">
        <f t="shared" si="8"/>
        <v/>
      </c>
      <c r="J206" s="13">
        <f t="shared" si="4"/>
        <v>0</v>
      </c>
      <c r="K206" s="1"/>
    </row>
    <row r="207" spans="1:11">
      <c r="A207" s="1" t="str">
        <f t="shared" si="5"/>
        <v/>
      </c>
      <c r="B207" s="1" t="str">
        <f t="shared" si="6"/>
        <v/>
      </c>
      <c r="C207" s="1" t="str">
        <f t="shared" si="7"/>
        <v/>
      </c>
      <c r="D207" s="1" t="str">
        <f t="shared" si="8"/>
        <v/>
      </c>
      <c r="J207" s="13">
        <f t="shared" si="4"/>
        <v>0</v>
      </c>
      <c r="K207" s="1"/>
    </row>
    <row r="208" spans="1:11">
      <c r="A208" s="1" t="str">
        <f t="shared" si="5"/>
        <v/>
      </c>
      <c r="B208" s="1" t="str">
        <f t="shared" si="6"/>
        <v/>
      </c>
      <c r="C208" s="1" t="str">
        <f t="shared" si="7"/>
        <v/>
      </c>
      <c r="D208" s="1" t="str">
        <f t="shared" si="8"/>
        <v/>
      </c>
      <c r="J208" s="13">
        <f t="shared" si="4"/>
        <v>0</v>
      </c>
      <c r="K208" s="1"/>
    </row>
    <row r="209" spans="1:11">
      <c r="A209" s="1" t="str">
        <f t="shared" si="5"/>
        <v/>
      </c>
      <c r="B209" s="1" t="str">
        <f t="shared" si="6"/>
        <v/>
      </c>
      <c r="C209" s="1" t="str">
        <f t="shared" si="7"/>
        <v/>
      </c>
      <c r="D209" s="1" t="str">
        <f t="shared" si="8"/>
        <v/>
      </c>
      <c r="J209" s="13">
        <f t="shared" si="4"/>
        <v>0</v>
      </c>
      <c r="K209" s="1"/>
    </row>
    <row r="210" spans="1:11">
      <c r="A210" s="1" t="str">
        <f t="shared" si="5"/>
        <v/>
      </c>
      <c r="B210" s="1" t="str">
        <f t="shared" si="6"/>
        <v/>
      </c>
      <c r="C210" s="1" t="str">
        <f t="shared" si="7"/>
        <v/>
      </c>
      <c r="D210" s="1" t="str">
        <f t="shared" si="8"/>
        <v/>
      </c>
      <c r="J210" s="13">
        <f t="shared" si="4"/>
        <v>0</v>
      </c>
      <c r="K210" s="1"/>
    </row>
    <row r="211" spans="1:11">
      <c r="A211" s="1" t="str">
        <f t="shared" si="5"/>
        <v/>
      </c>
      <c r="B211" s="1" t="str">
        <f t="shared" si="6"/>
        <v/>
      </c>
      <c r="C211" s="1" t="str">
        <f t="shared" si="7"/>
        <v/>
      </c>
      <c r="D211" s="1" t="str">
        <f t="shared" si="8"/>
        <v/>
      </c>
      <c r="J211" s="13">
        <f t="shared" si="4"/>
        <v>0</v>
      </c>
      <c r="K211" s="1"/>
    </row>
    <row r="212" spans="1:11">
      <c r="A212" s="1" t="str">
        <f t="shared" si="5"/>
        <v/>
      </c>
      <c r="B212" s="1" t="str">
        <f t="shared" si="6"/>
        <v/>
      </c>
      <c r="C212" s="1" t="str">
        <f t="shared" si="7"/>
        <v/>
      </c>
      <c r="D212" s="1" t="str">
        <f t="shared" si="8"/>
        <v/>
      </c>
      <c r="J212" s="13">
        <f t="shared" si="4"/>
        <v>0</v>
      </c>
      <c r="K212" s="1"/>
    </row>
    <row r="213" spans="1:11">
      <c r="A213" s="1" t="str">
        <f t="shared" si="5"/>
        <v/>
      </c>
      <c r="B213" s="1" t="str">
        <f t="shared" si="6"/>
        <v/>
      </c>
      <c r="C213" s="1" t="str">
        <f t="shared" si="7"/>
        <v/>
      </c>
      <c r="D213" s="1" t="str">
        <f t="shared" si="8"/>
        <v/>
      </c>
      <c r="J213" s="13">
        <f t="shared" si="4"/>
        <v>0</v>
      </c>
      <c r="K213" s="1"/>
    </row>
    <row r="214" spans="1:11">
      <c r="A214" s="1" t="str">
        <f t="shared" si="5"/>
        <v/>
      </c>
      <c r="B214" s="1" t="str">
        <f t="shared" si="6"/>
        <v/>
      </c>
      <c r="C214" s="1" t="str">
        <f t="shared" si="7"/>
        <v/>
      </c>
      <c r="D214" s="1" t="str">
        <f t="shared" si="8"/>
        <v/>
      </c>
      <c r="K214" s="1"/>
    </row>
    <row r="215" spans="1:11">
      <c r="A215" s="1" t="str">
        <f t="shared" si="5"/>
        <v/>
      </c>
      <c r="B215" s="1" t="str">
        <f t="shared" si="6"/>
        <v/>
      </c>
      <c r="C215" s="1" t="str">
        <f t="shared" si="7"/>
        <v/>
      </c>
      <c r="D215" s="1" t="str">
        <f t="shared" si="8"/>
        <v/>
      </c>
      <c r="K215" s="1"/>
    </row>
    <row r="216" spans="1:11">
      <c r="A216" s="1" t="str">
        <f t="shared" si="5"/>
        <v/>
      </c>
      <c r="B216" s="1" t="str">
        <f t="shared" si="6"/>
        <v/>
      </c>
      <c r="C216" s="1" t="str">
        <f t="shared" si="7"/>
        <v/>
      </c>
      <c r="D216" s="1" t="str">
        <f t="shared" si="8"/>
        <v/>
      </c>
      <c r="K216" s="1"/>
    </row>
    <row r="217" spans="1:11">
      <c r="A217" s="1" t="str">
        <f t="shared" si="5"/>
        <v/>
      </c>
      <c r="B217" s="1" t="str">
        <f t="shared" si="6"/>
        <v/>
      </c>
      <c r="C217" s="1" t="str">
        <f t="shared" si="7"/>
        <v/>
      </c>
      <c r="D217" s="1" t="str">
        <f t="shared" si="8"/>
        <v/>
      </c>
      <c r="K217" s="1"/>
    </row>
    <row r="218" spans="1:11">
      <c r="A218" s="1" t="str">
        <f t="shared" si="5"/>
        <v/>
      </c>
      <c r="B218" s="1" t="str">
        <f t="shared" si="6"/>
        <v/>
      </c>
      <c r="C218" s="1" t="str">
        <f t="shared" si="7"/>
        <v/>
      </c>
      <c r="D218" s="1" t="str">
        <f t="shared" si="8"/>
        <v/>
      </c>
      <c r="K218" s="1"/>
    </row>
    <row r="219" spans="1:11">
      <c r="A219" s="1" t="str">
        <f t="shared" si="5"/>
        <v/>
      </c>
      <c r="B219" s="1" t="str">
        <f t="shared" si="6"/>
        <v/>
      </c>
      <c r="C219" s="1" t="str">
        <f t="shared" si="7"/>
        <v/>
      </c>
      <c r="D219" s="1" t="str">
        <f t="shared" si="8"/>
        <v/>
      </c>
      <c r="K219" s="1"/>
    </row>
    <row r="220" spans="1:11">
      <c r="A220" s="1" t="str">
        <f t="shared" si="5"/>
        <v/>
      </c>
      <c r="B220" s="1" t="str">
        <f t="shared" si="6"/>
        <v/>
      </c>
      <c r="C220" s="1" t="str">
        <f t="shared" si="7"/>
        <v/>
      </c>
      <c r="D220" s="1" t="str">
        <f t="shared" si="8"/>
        <v/>
      </c>
      <c r="K220" s="1"/>
    </row>
    <row r="221" spans="1:11">
      <c r="A221" s="1" t="str">
        <f t="shared" si="5"/>
        <v/>
      </c>
      <c r="B221" s="1" t="str">
        <f t="shared" si="6"/>
        <v/>
      </c>
      <c r="C221" s="1" t="str">
        <f t="shared" si="7"/>
        <v/>
      </c>
      <c r="D221" s="1" t="str">
        <f t="shared" si="8"/>
        <v/>
      </c>
      <c r="K221" s="1"/>
    </row>
    <row r="222" spans="1:11">
      <c r="A222" s="1" t="str">
        <f t="shared" si="5"/>
        <v/>
      </c>
      <c r="B222" s="1" t="str">
        <f t="shared" si="6"/>
        <v/>
      </c>
      <c r="C222" s="1" t="str">
        <f t="shared" si="7"/>
        <v/>
      </c>
      <c r="D222" s="1" t="str">
        <f t="shared" si="8"/>
        <v/>
      </c>
      <c r="K222" s="1"/>
    </row>
    <row r="223" spans="1:11">
      <c r="A223" s="1" t="str">
        <f t="shared" si="5"/>
        <v/>
      </c>
      <c r="B223" s="1" t="str">
        <f t="shared" si="6"/>
        <v/>
      </c>
      <c r="C223" s="1" t="str">
        <f t="shared" si="7"/>
        <v/>
      </c>
      <c r="D223" s="1" t="str">
        <f t="shared" si="8"/>
        <v/>
      </c>
      <c r="K223" s="1"/>
    </row>
    <row r="224" spans="1:11">
      <c r="A224" s="1" t="str">
        <f t="shared" si="5"/>
        <v/>
      </c>
      <c r="B224" s="1" t="str">
        <f t="shared" si="6"/>
        <v/>
      </c>
      <c r="C224" s="1" t="str">
        <f t="shared" si="7"/>
        <v/>
      </c>
      <c r="D224" s="1" t="str">
        <f t="shared" si="8"/>
        <v/>
      </c>
      <c r="K224" s="1"/>
    </row>
    <row r="225" spans="1:11">
      <c r="A225" s="1" t="str">
        <f t="shared" si="5"/>
        <v/>
      </c>
      <c r="B225" s="1" t="str">
        <f t="shared" si="6"/>
        <v/>
      </c>
      <c r="C225" s="1" t="str">
        <f t="shared" si="7"/>
        <v/>
      </c>
      <c r="D225" s="1" t="str">
        <f t="shared" si="8"/>
        <v/>
      </c>
      <c r="K225" s="1"/>
    </row>
    <row r="226" spans="1:11">
      <c r="A226" s="1" t="str">
        <f t="shared" si="5"/>
        <v/>
      </c>
      <c r="B226" s="1" t="str">
        <f t="shared" si="6"/>
        <v/>
      </c>
      <c r="C226" s="1" t="str">
        <f t="shared" si="7"/>
        <v/>
      </c>
      <c r="D226" s="1" t="str">
        <f t="shared" si="8"/>
        <v/>
      </c>
      <c r="K226" s="1"/>
    </row>
    <row r="227" spans="1:11">
      <c r="A227" s="1" t="str">
        <f t="shared" si="5"/>
        <v/>
      </c>
      <c r="B227" s="1" t="str">
        <f t="shared" si="6"/>
        <v/>
      </c>
      <c r="C227" s="1" t="str">
        <f t="shared" si="7"/>
        <v/>
      </c>
      <c r="D227" s="1" t="str">
        <f t="shared" si="8"/>
        <v/>
      </c>
      <c r="K227" s="1"/>
    </row>
    <row r="228" spans="1:11">
      <c r="A228" s="1" t="str">
        <f t="shared" si="5"/>
        <v/>
      </c>
      <c r="B228" s="1" t="str">
        <f t="shared" si="6"/>
        <v/>
      </c>
      <c r="C228" s="1" t="str">
        <f t="shared" si="7"/>
        <v/>
      </c>
      <c r="D228" s="1" t="str">
        <f t="shared" si="8"/>
        <v/>
      </c>
      <c r="K228" s="1"/>
    </row>
    <row r="229" spans="1:11">
      <c r="A229" s="1" t="str">
        <f t="shared" si="5"/>
        <v/>
      </c>
      <c r="B229" s="1" t="str">
        <f t="shared" si="6"/>
        <v/>
      </c>
      <c r="C229" s="1" t="str">
        <f t="shared" si="7"/>
        <v/>
      </c>
      <c r="D229" s="1" t="str">
        <f t="shared" si="8"/>
        <v/>
      </c>
      <c r="K229" s="1"/>
    </row>
    <row r="230" spans="1:11">
      <c r="A230" s="1" t="str">
        <f t="shared" si="5"/>
        <v/>
      </c>
      <c r="B230" s="1" t="str">
        <f t="shared" si="6"/>
        <v/>
      </c>
      <c r="C230" s="1" t="str">
        <f t="shared" si="7"/>
        <v/>
      </c>
      <c r="D230" s="1" t="str">
        <f t="shared" si="8"/>
        <v/>
      </c>
      <c r="K230" s="1"/>
    </row>
    <row r="231" spans="1:11">
      <c r="A231" s="1" t="str">
        <f t="shared" si="5"/>
        <v/>
      </c>
      <c r="B231" s="1" t="str">
        <f t="shared" si="6"/>
        <v/>
      </c>
      <c r="C231" s="1" t="str">
        <f t="shared" si="7"/>
        <v/>
      </c>
      <c r="D231" s="1" t="str">
        <f t="shared" si="8"/>
        <v/>
      </c>
      <c r="K231" s="1"/>
    </row>
    <row r="232" spans="1:11">
      <c r="A232" s="1" t="str">
        <f t="shared" si="5"/>
        <v/>
      </c>
      <c r="B232" s="1" t="str">
        <f t="shared" si="6"/>
        <v/>
      </c>
      <c r="C232" s="1" t="str">
        <f t="shared" si="7"/>
        <v/>
      </c>
      <c r="D232" s="1" t="str">
        <f t="shared" si="8"/>
        <v/>
      </c>
      <c r="K232" s="1"/>
    </row>
    <row r="233" spans="1:11">
      <c r="A233" s="1" t="str">
        <f t="shared" si="5"/>
        <v/>
      </c>
      <c r="B233" s="1" t="str">
        <f t="shared" si="6"/>
        <v/>
      </c>
      <c r="C233" s="1" t="str">
        <f t="shared" si="7"/>
        <v/>
      </c>
      <c r="D233" s="1" t="str">
        <f t="shared" si="8"/>
        <v/>
      </c>
      <c r="K233" s="1"/>
    </row>
    <row r="234" spans="1:11">
      <c r="A234" s="1" t="str">
        <f t="shared" si="5"/>
        <v/>
      </c>
      <c r="B234" s="1" t="str">
        <f t="shared" si="6"/>
        <v/>
      </c>
      <c r="C234" s="1" t="str">
        <f t="shared" si="7"/>
        <v/>
      </c>
      <c r="D234" s="1" t="str">
        <f t="shared" si="8"/>
        <v/>
      </c>
      <c r="K234" s="1"/>
    </row>
    <row r="235" spans="1:11">
      <c r="A235" s="1" t="str">
        <f t="shared" si="5"/>
        <v/>
      </c>
      <c r="B235" s="1" t="str">
        <f t="shared" si="6"/>
        <v/>
      </c>
      <c r="C235" s="1" t="str">
        <f t="shared" si="7"/>
        <v/>
      </c>
      <c r="D235" s="1" t="str">
        <f t="shared" si="8"/>
        <v/>
      </c>
      <c r="K235" s="1"/>
    </row>
    <row r="236" spans="1:11">
      <c r="A236" s="1" t="str">
        <f t="shared" si="5"/>
        <v/>
      </c>
      <c r="B236" s="1" t="str">
        <f t="shared" si="6"/>
        <v/>
      </c>
      <c r="C236" s="1" t="str">
        <f t="shared" si="7"/>
        <v/>
      </c>
      <c r="D236" s="1" t="str">
        <f t="shared" si="8"/>
        <v/>
      </c>
      <c r="K236" s="1"/>
    </row>
    <row r="237" spans="1:11">
      <c r="K237" s="1"/>
    </row>
    <row r="238" spans="1:11">
      <c r="K238" s="1"/>
    </row>
    <row r="239" spans="1:11">
      <c r="K239" s="1"/>
    </row>
    <row r="240" spans="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</sheetData>
  <autoFilter ref="K1:K1011" xr:uid="{00000000-0009-0000-0000-00000A000000}"/>
  <dataValidations count="1">
    <dataValidation type="list" allowBlank="1" showErrorMessage="1" sqref="K1:K158 K162:K1008" xr:uid="{00000000-0002-0000-0A00-000000000000}">
      <formula1>"Assurances/Mutuelle,Bricolage/Travaux,Catégorie,Charges,Courses,Divers,Internet/Téléphone,Logement,Loisirs,Medical,Scolarité,Soins,Vêtements,Voiture/Déplacement,Cadeau"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008"/>
  <sheetViews>
    <sheetView workbookViewId="0"/>
  </sheetViews>
  <sheetFormatPr defaultColWidth="12.6640625" defaultRowHeight="15.75" customHeight="1"/>
  <cols>
    <col min="1" max="1" width="22.88671875" customWidth="1"/>
    <col min="2" max="2" width="31.21875" customWidth="1"/>
    <col min="5" max="5" width="24.109375" customWidth="1"/>
    <col min="7" max="7" width="28.77734375" customWidth="1"/>
    <col min="9" max="9" width="17.44140625" customWidth="1"/>
    <col min="11" max="11" width="29.21875" customWidth="1"/>
  </cols>
  <sheetData>
    <row r="1" spans="1:29">
      <c r="A1" s="1"/>
      <c r="B1" s="1" t="s">
        <v>27</v>
      </c>
      <c r="C1" s="1"/>
      <c r="D1" s="1"/>
      <c r="E1" s="1" t="s">
        <v>28</v>
      </c>
      <c r="K1" s="1" t="s">
        <v>29</v>
      </c>
    </row>
    <row r="2" spans="1:29">
      <c r="K2" s="1"/>
    </row>
    <row r="3" spans="1:29">
      <c r="A3" s="1"/>
      <c r="B3" s="1" t="s">
        <v>30</v>
      </c>
      <c r="C3" s="1">
        <v>5245.11</v>
      </c>
      <c r="E3" s="1" t="s">
        <v>31</v>
      </c>
      <c r="F3" s="1">
        <v>669.7</v>
      </c>
      <c r="G3" s="1" t="s">
        <v>32</v>
      </c>
      <c r="H3" s="1">
        <f t="shared" ref="H3:H6" si="0">IF(G3="x",F3,0)</f>
        <v>669.7</v>
      </c>
      <c r="K3" s="1" t="s">
        <v>25</v>
      </c>
    </row>
    <row r="4" spans="1:29">
      <c r="A4" s="1"/>
      <c r="B4" s="1" t="s">
        <v>33</v>
      </c>
      <c r="C4" s="1">
        <v>1828.73</v>
      </c>
      <c r="E4" s="1" t="s">
        <v>34</v>
      </c>
      <c r="H4" s="1">
        <f t="shared" si="0"/>
        <v>0</v>
      </c>
      <c r="K4" s="1" t="s">
        <v>26</v>
      </c>
    </row>
    <row r="5" spans="1:29">
      <c r="A5" s="1"/>
      <c r="B5" s="1" t="s">
        <v>35</v>
      </c>
      <c r="C5" s="1">
        <v>113.3</v>
      </c>
      <c r="E5" s="1" t="s">
        <v>36</v>
      </c>
      <c r="F5" s="1">
        <v>70</v>
      </c>
      <c r="G5" s="1" t="s">
        <v>32</v>
      </c>
      <c r="H5" s="1">
        <f t="shared" si="0"/>
        <v>70</v>
      </c>
      <c r="K5" s="1" t="s">
        <v>26</v>
      </c>
    </row>
    <row r="6" spans="1:29">
      <c r="E6" s="11" t="s">
        <v>37</v>
      </c>
      <c r="F6" s="10">
        <v>164.99</v>
      </c>
      <c r="G6" s="11" t="s">
        <v>32</v>
      </c>
      <c r="H6" s="1">
        <f t="shared" si="0"/>
        <v>164.99</v>
      </c>
      <c r="K6" s="1" t="s">
        <v>26</v>
      </c>
    </row>
    <row r="7" spans="1:29">
      <c r="A7" s="11"/>
      <c r="D7" s="11"/>
      <c r="E7" s="1" t="s">
        <v>38</v>
      </c>
      <c r="F7" s="1">
        <v>995.15</v>
      </c>
      <c r="G7" s="11" t="s">
        <v>32</v>
      </c>
      <c r="H7" s="10">
        <f>IF(G7="x",F7,0)</f>
        <v>995.15</v>
      </c>
      <c r="I7" s="11"/>
      <c r="J7" s="11"/>
      <c r="K7" s="1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B8" s="1" t="s">
        <v>189</v>
      </c>
      <c r="C8" s="1">
        <v>19</v>
      </c>
      <c r="E8" s="1" t="s">
        <v>40</v>
      </c>
      <c r="F8" s="1">
        <v>883.42</v>
      </c>
      <c r="G8" s="1" t="s">
        <v>32</v>
      </c>
      <c r="H8" s="1">
        <f t="shared" ref="H8:H21" si="1">IF(G8="x",F8,0)</f>
        <v>883.42</v>
      </c>
      <c r="K8" s="1" t="s">
        <v>25</v>
      </c>
    </row>
    <row r="9" spans="1:29">
      <c r="B9" s="11" t="s">
        <v>322</v>
      </c>
      <c r="C9" s="11">
        <v>72.319999999999993</v>
      </c>
      <c r="E9" s="1" t="s">
        <v>42</v>
      </c>
      <c r="F9" s="1">
        <v>11.46</v>
      </c>
      <c r="G9" s="1" t="s">
        <v>32</v>
      </c>
      <c r="H9" s="1">
        <f t="shared" si="1"/>
        <v>11.46</v>
      </c>
      <c r="K9" s="1" t="s">
        <v>25</v>
      </c>
    </row>
    <row r="10" spans="1:29">
      <c r="B10" s="1" t="s">
        <v>323</v>
      </c>
      <c r="C10" s="1">
        <v>16</v>
      </c>
      <c r="E10" s="1" t="s">
        <v>42</v>
      </c>
      <c r="F10" s="1">
        <v>32.57</v>
      </c>
      <c r="G10" s="1" t="s">
        <v>32</v>
      </c>
      <c r="H10" s="1">
        <f t="shared" si="1"/>
        <v>32.57</v>
      </c>
      <c r="K10" s="1" t="s">
        <v>25</v>
      </c>
    </row>
    <row r="11" spans="1:29">
      <c r="B11" s="1" t="s">
        <v>324</v>
      </c>
      <c r="C11" s="1">
        <v>16</v>
      </c>
      <c r="E11" s="1" t="s">
        <v>42</v>
      </c>
      <c r="F11" s="1">
        <v>79.98</v>
      </c>
      <c r="G11" s="1" t="s">
        <v>32</v>
      </c>
      <c r="H11" s="1">
        <f t="shared" si="1"/>
        <v>79.98</v>
      </c>
      <c r="K11" s="1" t="s">
        <v>25</v>
      </c>
    </row>
    <row r="12" spans="1:29">
      <c r="B12" s="1" t="s">
        <v>325</v>
      </c>
      <c r="C12" s="1">
        <v>16</v>
      </c>
      <c r="E12" s="1" t="s">
        <v>42</v>
      </c>
      <c r="F12" s="1">
        <v>28.49</v>
      </c>
      <c r="G12" s="1" t="s">
        <v>32</v>
      </c>
      <c r="H12" s="1">
        <f t="shared" si="1"/>
        <v>28.49</v>
      </c>
      <c r="K12" s="1" t="s">
        <v>25</v>
      </c>
    </row>
    <row r="13" spans="1:29">
      <c r="B13" s="1" t="s">
        <v>326</v>
      </c>
      <c r="C13" s="1">
        <v>16</v>
      </c>
      <c r="E13" s="1" t="s">
        <v>43</v>
      </c>
      <c r="F13" s="1">
        <v>6.99</v>
      </c>
      <c r="G13" s="1" t="s">
        <v>32</v>
      </c>
      <c r="H13" s="1">
        <f t="shared" si="1"/>
        <v>6.99</v>
      </c>
      <c r="K13" s="1" t="s">
        <v>44</v>
      </c>
    </row>
    <row r="14" spans="1:29">
      <c r="B14" s="1" t="s">
        <v>327</v>
      </c>
      <c r="C14" s="1">
        <v>15.67</v>
      </c>
      <c r="E14" s="1" t="s">
        <v>45</v>
      </c>
      <c r="F14" s="1">
        <v>43.96</v>
      </c>
      <c r="G14" s="1" t="s">
        <v>32</v>
      </c>
      <c r="H14" s="1">
        <f t="shared" si="1"/>
        <v>43.96</v>
      </c>
      <c r="K14" s="1" t="s">
        <v>26</v>
      </c>
    </row>
    <row r="15" spans="1:29">
      <c r="B15" s="1" t="s">
        <v>328</v>
      </c>
      <c r="C15" s="1">
        <v>15.67</v>
      </c>
      <c r="E15" s="1" t="s">
        <v>46</v>
      </c>
      <c r="F15" s="1">
        <v>208</v>
      </c>
      <c r="G15" s="1" t="s">
        <v>32</v>
      </c>
      <c r="H15" s="1">
        <f t="shared" si="1"/>
        <v>208</v>
      </c>
      <c r="K15" s="1" t="s">
        <v>26</v>
      </c>
    </row>
    <row r="16" spans="1:29">
      <c r="B16" s="1" t="s">
        <v>329</v>
      </c>
      <c r="C16" s="1">
        <v>16</v>
      </c>
      <c r="E16" s="1" t="s">
        <v>47</v>
      </c>
      <c r="F16" s="1">
        <v>24.99</v>
      </c>
      <c r="G16" s="1" t="s">
        <v>32</v>
      </c>
      <c r="H16" s="1">
        <f t="shared" si="1"/>
        <v>24.99</v>
      </c>
      <c r="K16" s="1" t="s">
        <v>44</v>
      </c>
    </row>
    <row r="17" spans="1:29">
      <c r="B17" s="1" t="s">
        <v>51</v>
      </c>
      <c r="C17" s="1">
        <v>9</v>
      </c>
      <c r="E17" s="1" t="s">
        <v>164</v>
      </c>
      <c r="F17" s="1">
        <v>14.99</v>
      </c>
      <c r="G17" s="1" t="s">
        <v>32</v>
      </c>
      <c r="H17" s="1">
        <f t="shared" si="1"/>
        <v>14.99</v>
      </c>
      <c r="K17" s="1" t="s">
        <v>44</v>
      </c>
    </row>
    <row r="18" spans="1:29">
      <c r="B18" s="1" t="s">
        <v>330</v>
      </c>
      <c r="C18" s="1">
        <v>85</v>
      </c>
      <c r="E18" s="1" t="s">
        <v>48</v>
      </c>
      <c r="F18" s="1">
        <v>14.99</v>
      </c>
      <c r="H18" s="1">
        <f t="shared" si="1"/>
        <v>0</v>
      </c>
      <c r="K18" s="1" t="s">
        <v>44</v>
      </c>
    </row>
    <row r="19" spans="1:29">
      <c r="E19" s="1" t="s">
        <v>49</v>
      </c>
      <c r="F19" s="1">
        <v>14.99</v>
      </c>
      <c r="H19" s="1">
        <f t="shared" si="1"/>
        <v>0</v>
      </c>
      <c r="K19" s="1" t="s">
        <v>44</v>
      </c>
    </row>
    <row r="20" spans="1:29">
      <c r="E20" s="1" t="s">
        <v>50</v>
      </c>
      <c r="F20" s="1">
        <v>10.99</v>
      </c>
      <c r="G20" s="1" t="s">
        <v>32</v>
      </c>
      <c r="H20" s="1">
        <f t="shared" si="1"/>
        <v>10.99</v>
      </c>
      <c r="K20" s="1" t="s">
        <v>44</v>
      </c>
    </row>
    <row r="21" spans="1:29">
      <c r="E21" s="1" t="s">
        <v>51</v>
      </c>
      <c r="F21" s="1">
        <v>104.98</v>
      </c>
      <c r="G21" s="1" t="s">
        <v>32</v>
      </c>
      <c r="H21" s="1">
        <f t="shared" si="1"/>
        <v>104.98</v>
      </c>
      <c r="K21" s="1" t="s">
        <v>52</v>
      </c>
    </row>
    <row r="22" spans="1:29">
      <c r="K22" s="1"/>
    </row>
    <row r="23" spans="1:29">
      <c r="E23" s="1" t="s">
        <v>305</v>
      </c>
      <c r="F23" s="1">
        <v>60.09</v>
      </c>
      <c r="G23" s="1" t="s">
        <v>32</v>
      </c>
      <c r="H23" s="1">
        <f t="shared" ref="H23:H29" si="2">IF(G23="x",F23,0)</f>
        <v>60.09</v>
      </c>
      <c r="K23" s="1" t="s">
        <v>52</v>
      </c>
    </row>
    <row r="24" spans="1:29">
      <c r="E24" s="1" t="s">
        <v>105</v>
      </c>
      <c r="F24" s="1">
        <v>331.65</v>
      </c>
      <c r="G24" s="1" t="s">
        <v>32</v>
      </c>
      <c r="H24" s="1">
        <f t="shared" si="2"/>
        <v>331.65</v>
      </c>
      <c r="K24" s="1" t="s">
        <v>55</v>
      </c>
    </row>
    <row r="25" spans="1:29">
      <c r="E25" s="1" t="s">
        <v>266</v>
      </c>
      <c r="F25" s="1">
        <v>133.69999999999999</v>
      </c>
      <c r="G25" s="1" t="s">
        <v>32</v>
      </c>
      <c r="H25" s="1">
        <f t="shared" si="2"/>
        <v>133.69999999999999</v>
      </c>
      <c r="K25" s="1" t="s">
        <v>52</v>
      </c>
    </row>
    <row r="26" spans="1:29">
      <c r="E26" s="1" t="s">
        <v>57</v>
      </c>
      <c r="F26" s="1">
        <v>29.97</v>
      </c>
      <c r="G26" s="1" t="s">
        <v>32</v>
      </c>
      <c r="H26" s="1">
        <f t="shared" si="2"/>
        <v>29.97</v>
      </c>
      <c r="K26" s="1" t="s">
        <v>52</v>
      </c>
    </row>
    <row r="27" spans="1:29">
      <c r="E27" s="1" t="s">
        <v>58</v>
      </c>
      <c r="F27" s="1">
        <v>20</v>
      </c>
      <c r="G27" s="1" t="s">
        <v>32</v>
      </c>
      <c r="H27" s="1">
        <f t="shared" si="2"/>
        <v>20</v>
      </c>
      <c r="K27" s="1" t="s">
        <v>59</v>
      </c>
    </row>
    <row r="28" spans="1:29">
      <c r="E28" s="1" t="s">
        <v>60</v>
      </c>
      <c r="F28" s="1">
        <v>21.99</v>
      </c>
      <c r="G28" s="1" t="s">
        <v>32</v>
      </c>
      <c r="H28" s="1">
        <f t="shared" si="2"/>
        <v>21.99</v>
      </c>
      <c r="K28" s="1" t="s">
        <v>44</v>
      </c>
    </row>
    <row r="29" spans="1:29">
      <c r="H29" s="1">
        <f t="shared" si="2"/>
        <v>0</v>
      </c>
      <c r="K29" s="1" t="s">
        <v>55</v>
      </c>
    </row>
    <row r="30" spans="1:29">
      <c r="E30" s="1" t="s">
        <v>61</v>
      </c>
      <c r="F30" s="1">
        <v>21.4</v>
      </c>
      <c r="G30" s="11" t="s">
        <v>32</v>
      </c>
      <c r="H30" s="10">
        <f>IF(G30="x",F30,0)</f>
        <v>21.4</v>
      </c>
      <c r="K30" s="1" t="s">
        <v>55</v>
      </c>
    </row>
    <row r="31" spans="1:29">
      <c r="E31" s="11" t="s">
        <v>62</v>
      </c>
      <c r="F31" s="10">
        <v>0.99</v>
      </c>
      <c r="G31" s="1" t="s">
        <v>32</v>
      </c>
      <c r="H31" s="1">
        <f t="shared" ref="H31:H37" si="3">IF(G31="x",F31,0)</f>
        <v>0.99</v>
      </c>
      <c r="K31" s="1" t="s">
        <v>44</v>
      </c>
    </row>
    <row r="32" spans="1:29">
      <c r="A32" s="11"/>
      <c r="B32" s="11"/>
      <c r="C32" s="11"/>
      <c r="D32" s="11"/>
      <c r="E32" s="1" t="s">
        <v>62</v>
      </c>
      <c r="F32" s="1">
        <v>16.989999999999998</v>
      </c>
      <c r="G32" s="1" t="s">
        <v>32</v>
      </c>
      <c r="H32" s="1">
        <f t="shared" si="3"/>
        <v>16.989999999999998</v>
      </c>
      <c r="I32" s="11"/>
      <c r="J32" s="11"/>
      <c r="K32" s="1" t="s">
        <v>44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A33" s="11"/>
      <c r="B33" s="11"/>
      <c r="C33" s="11"/>
      <c r="D33" s="11"/>
      <c r="E33" s="1" t="s">
        <v>106</v>
      </c>
      <c r="F33" s="1">
        <v>172.1</v>
      </c>
      <c r="G33" s="1" t="s">
        <v>32</v>
      </c>
      <c r="H33" s="1">
        <f t="shared" si="3"/>
        <v>172.1</v>
      </c>
      <c r="I33" s="11"/>
      <c r="J33" s="11"/>
      <c r="K33" s="1" t="s">
        <v>64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E34" s="1" t="s">
        <v>65</v>
      </c>
      <c r="F34" s="1">
        <v>68</v>
      </c>
      <c r="H34" s="1">
        <f t="shared" si="3"/>
        <v>0</v>
      </c>
      <c r="K34" s="1" t="s">
        <v>25</v>
      </c>
    </row>
    <row r="35" spans="1:29">
      <c r="A35" s="1"/>
      <c r="E35" s="1" t="s">
        <v>66</v>
      </c>
      <c r="F35" s="1">
        <v>104.66</v>
      </c>
      <c r="G35" s="1" t="s">
        <v>32</v>
      </c>
      <c r="H35" s="1">
        <f t="shared" si="3"/>
        <v>104.66</v>
      </c>
      <c r="K35" s="1" t="s">
        <v>25</v>
      </c>
    </row>
    <row r="36" spans="1:29">
      <c r="A36" s="1"/>
      <c r="C36" s="1"/>
      <c r="E36" s="1" t="s">
        <v>67</v>
      </c>
      <c r="F36" s="1">
        <v>19.03</v>
      </c>
      <c r="G36" s="1" t="s">
        <v>32</v>
      </c>
      <c r="H36" s="1">
        <f t="shared" si="3"/>
        <v>19.03</v>
      </c>
      <c r="K36" s="1"/>
    </row>
    <row r="37" spans="1:29">
      <c r="A37" s="1"/>
      <c r="C37" s="1"/>
      <c r="E37" s="1" t="s">
        <v>68</v>
      </c>
      <c r="F37" s="1">
        <v>33.89</v>
      </c>
      <c r="G37" s="1" t="s">
        <v>32</v>
      </c>
      <c r="H37" s="1">
        <f t="shared" si="3"/>
        <v>33.89</v>
      </c>
      <c r="K37" s="1"/>
    </row>
    <row r="38" spans="1:29">
      <c r="A38" s="1"/>
      <c r="C38" s="1"/>
      <c r="K38" s="1"/>
    </row>
    <row r="39" spans="1:29">
      <c r="A39" s="1" t="s">
        <v>69</v>
      </c>
      <c r="C39" s="1" t="e">
        <f>'Janvier 2026'!D43</f>
        <v>#REF!</v>
      </c>
      <c r="K39" s="1"/>
    </row>
    <row r="40" spans="1:29">
      <c r="A40" s="1" t="s">
        <v>70</v>
      </c>
      <c r="C40" s="1">
        <f>SUM(C2:C6)</f>
        <v>7187.14</v>
      </c>
      <c r="E40" s="1" t="s">
        <v>71</v>
      </c>
      <c r="F40" s="1">
        <f>SUM(F2:F38)</f>
        <v>4415.0999999999985</v>
      </c>
      <c r="G40" s="1" t="s">
        <v>72</v>
      </c>
      <c r="H40" s="1">
        <f>SUM(H2:H38)</f>
        <v>4317.119999999999</v>
      </c>
      <c r="I40" s="1" t="s">
        <v>73</v>
      </c>
      <c r="K40" s="1"/>
    </row>
    <row r="41" spans="1:29">
      <c r="A41" s="1" t="s">
        <v>74</v>
      </c>
      <c r="C41" s="1">
        <f>SUM(C8:C35)</f>
        <v>296.65999999999997</v>
      </c>
      <c r="E41" s="1" t="s">
        <v>75</v>
      </c>
      <c r="F41" s="1" t="e">
        <f>C42-F40</f>
        <v>#REF!</v>
      </c>
      <c r="G41" s="1" t="s">
        <v>76</v>
      </c>
      <c r="H41" s="1" t="e">
        <f>C39+C40+C41-H40-F42</f>
        <v>#REF!</v>
      </c>
      <c r="K41" s="1"/>
    </row>
    <row r="42" spans="1:29">
      <c r="A42" s="1" t="s">
        <v>77</v>
      </c>
      <c r="C42" s="1" t="e">
        <f>SUM(C39:C41)</f>
        <v>#REF!</v>
      </c>
      <c r="E42" s="1" t="s">
        <v>78</v>
      </c>
      <c r="F42" s="1">
        <f>SUM(J44:J246)</f>
        <v>3724.67</v>
      </c>
      <c r="K42" s="1"/>
    </row>
    <row r="43" spans="1:29" ht="15.75" customHeight="1">
      <c r="A43" s="12" t="s">
        <v>79</v>
      </c>
      <c r="B43" s="12" t="e">
        <f>$C$42-$F$40-$F$42</f>
        <v>#REF!</v>
      </c>
      <c r="C43" s="1" t="s">
        <v>80</v>
      </c>
      <c r="D43" s="1" t="e">
        <f>$C$42-$H$40-$F$42</f>
        <v>#REF!</v>
      </c>
      <c r="K43" s="1"/>
    </row>
    <row r="44" spans="1:29">
      <c r="A44" s="1" t="str">
        <f>IF(AND(NOT(ISBLANK(#REF!)),ISBLANK(G44)),"Reste prévu","")</f>
        <v/>
      </c>
      <c r="B44" s="1" t="str">
        <f>IF(AND(NOT(ISBLANK(#REF!)),ISBLANK($G44)),$C$42-$F$40-$F$42,"")</f>
        <v/>
      </c>
      <c r="C44" s="1" t="str">
        <f>IF(AND(NOT(ISBLANK(#REF!)),ISBLANK($G44)),"Reste réel","")</f>
        <v/>
      </c>
      <c r="D44" s="1" t="str">
        <f>IF(AND(NOT(ISBLANK(#REF!)),ISBLANK($G44)),$C$42-$H$40-$F$42,"")</f>
        <v/>
      </c>
      <c r="G44" s="1" t="s">
        <v>346</v>
      </c>
      <c r="H44" s="1">
        <v>7.55</v>
      </c>
      <c r="I44" s="1" t="s">
        <v>32</v>
      </c>
      <c r="J44" s="13">
        <f t="shared" ref="J44:J213" si="4">IF(I44="x",H44,0)</f>
        <v>7.55</v>
      </c>
      <c r="K44" s="1" t="s">
        <v>24</v>
      </c>
    </row>
    <row r="45" spans="1:29">
      <c r="A45" s="1" t="str">
        <f t="shared" ref="A45:A236" si="5">IF(AND(NOT(ISBLANK(G44)),ISBLANK(G45)),"Reste prévu","")</f>
        <v/>
      </c>
      <c r="B45" s="1" t="str">
        <f t="shared" ref="B45:B236" si="6">IF(AND(NOT(ISBLANK($G44)),ISBLANK($G45)),$C$42-$F$40-$F$42,"")</f>
        <v/>
      </c>
      <c r="C45" s="1" t="str">
        <f t="shared" ref="C45:C236" si="7">IF(AND(NOT(ISBLANK($G44)),ISBLANK($G45)),"Reste réel","")</f>
        <v/>
      </c>
      <c r="D45" s="1" t="str">
        <f t="shared" ref="D45:D236" si="8">IF(AND(NOT(ISBLANK($G44)),ISBLANK($G45)),$C$42-$H$40-$F$42,"")</f>
        <v/>
      </c>
      <c r="G45" s="1" t="s">
        <v>351</v>
      </c>
      <c r="H45" s="1">
        <v>18.100000000000001</v>
      </c>
      <c r="I45" s="1" t="s">
        <v>32</v>
      </c>
      <c r="J45" s="13">
        <f t="shared" si="4"/>
        <v>18.100000000000001</v>
      </c>
      <c r="K45" s="1" t="s">
        <v>24</v>
      </c>
    </row>
    <row r="46" spans="1:29">
      <c r="A46" s="1" t="str">
        <f t="shared" si="5"/>
        <v/>
      </c>
      <c r="B46" s="1" t="str">
        <f t="shared" si="6"/>
        <v/>
      </c>
      <c r="C46" s="1" t="str">
        <f t="shared" si="7"/>
        <v/>
      </c>
      <c r="D46" s="1" t="str">
        <f t="shared" si="8"/>
        <v/>
      </c>
      <c r="G46" s="1" t="s">
        <v>84</v>
      </c>
      <c r="H46" s="1">
        <v>28.08</v>
      </c>
      <c r="I46" s="1" t="s">
        <v>32</v>
      </c>
      <c r="J46" s="13">
        <f t="shared" si="4"/>
        <v>28.08</v>
      </c>
      <c r="K46" s="1" t="s">
        <v>85</v>
      </c>
    </row>
    <row r="47" spans="1:29">
      <c r="A47" s="1" t="str">
        <f t="shared" si="5"/>
        <v/>
      </c>
      <c r="B47" s="1" t="str">
        <f t="shared" si="6"/>
        <v/>
      </c>
      <c r="C47" s="1" t="str">
        <f t="shared" si="7"/>
        <v/>
      </c>
      <c r="D47" s="1" t="str">
        <f t="shared" si="8"/>
        <v/>
      </c>
      <c r="G47" s="1" t="s">
        <v>333</v>
      </c>
      <c r="H47" s="1">
        <v>40.020000000000003</v>
      </c>
      <c r="I47" s="1" t="s">
        <v>32</v>
      </c>
      <c r="J47" s="13">
        <f t="shared" si="4"/>
        <v>40.020000000000003</v>
      </c>
      <c r="K47" s="1" t="s">
        <v>24</v>
      </c>
    </row>
    <row r="48" spans="1:29">
      <c r="A48" s="1" t="str">
        <f t="shared" si="5"/>
        <v/>
      </c>
      <c r="B48" s="1" t="str">
        <f t="shared" si="6"/>
        <v/>
      </c>
      <c r="C48" s="1" t="str">
        <f t="shared" si="7"/>
        <v/>
      </c>
      <c r="D48" s="1" t="str">
        <f t="shared" si="8"/>
        <v/>
      </c>
      <c r="G48" s="1" t="s">
        <v>123</v>
      </c>
      <c r="H48" s="1">
        <v>93.5</v>
      </c>
      <c r="I48" s="1" t="s">
        <v>32</v>
      </c>
      <c r="J48" s="13">
        <f t="shared" si="4"/>
        <v>93.5</v>
      </c>
      <c r="K48" s="1" t="s">
        <v>98</v>
      </c>
    </row>
    <row r="49" spans="1:11">
      <c r="A49" s="1" t="str">
        <f t="shared" si="5"/>
        <v/>
      </c>
      <c r="B49" s="1" t="str">
        <f t="shared" si="6"/>
        <v/>
      </c>
      <c r="C49" s="1" t="str">
        <f t="shared" si="7"/>
        <v/>
      </c>
      <c r="D49" s="1" t="str">
        <f t="shared" si="8"/>
        <v/>
      </c>
      <c r="G49" s="1" t="s">
        <v>126</v>
      </c>
      <c r="H49" s="1">
        <v>9</v>
      </c>
      <c r="I49" s="1" t="s">
        <v>32</v>
      </c>
      <c r="J49" s="13">
        <f t="shared" si="4"/>
        <v>9</v>
      </c>
      <c r="K49" s="1" t="s">
        <v>55</v>
      </c>
    </row>
    <row r="50" spans="1:11">
      <c r="A50" s="1" t="str">
        <f t="shared" si="5"/>
        <v/>
      </c>
      <c r="B50" s="1" t="str">
        <f t="shared" si="6"/>
        <v/>
      </c>
      <c r="C50" s="1" t="str">
        <f t="shared" si="7"/>
        <v/>
      </c>
      <c r="D50" s="1" t="str">
        <f t="shared" si="8"/>
        <v/>
      </c>
      <c r="G50" s="1" t="s">
        <v>126</v>
      </c>
      <c r="H50" s="1">
        <v>9</v>
      </c>
      <c r="I50" s="1" t="s">
        <v>32</v>
      </c>
      <c r="J50" s="13">
        <f t="shared" si="4"/>
        <v>9</v>
      </c>
      <c r="K50" s="1" t="s">
        <v>55</v>
      </c>
    </row>
    <row r="51" spans="1:11">
      <c r="A51" s="1" t="str">
        <f t="shared" si="5"/>
        <v/>
      </c>
      <c r="B51" s="1" t="str">
        <f t="shared" si="6"/>
        <v/>
      </c>
      <c r="C51" s="1" t="str">
        <f t="shared" si="7"/>
        <v/>
      </c>
      <c r="D51" s="1" t="str">
        <f t="shared" si="8"/>
        <v/>
      </c>
      <c r="G51" s="1" t="s">
        <v>87</v>
      </c>
      <c r="H51" s="1">
        <v>19.079999999999998</v>
      </c>
      <c r="I51" s="1" t="s">
        <v>32</v>
      </c>
      <c r="J51" s="13">
        <f t="shared" si="4"/>
        <v>19.079999999999998</v>
      </c>
      <c r="K51" s="1" t="s">
        <v>24</v>
      </c>
    </row>
    <row r="52" spans="1:11">
      <c r="A52" s="1" t="str">
        <f t="shared" si="5"/>
        <v/>
      </c>
      <c r="B52" s="1" t="str">
        <f t="shared" si="6"/>
        <v/>
      </c>
      <c r="C52" s="1" t="str">
        <f t="shared" si="7"/>
        <v/>
      </c>
      <c r="D52" s="1" t="str">
        <f t="shared" si="8"/>
        <v/>
      </c>
      <c r="G52" s="1" t="s">
        <v>87</v>
      </c>
      <c r="H52" s="1">
        <v>37.79</v>
      </c>
      <c r="I52" s="1" t="s">
        <v>32</v>
      </c>
      <c r="J52" s="13">
        <f t="shared" si="4"/>
        <v>37.79</v>
      </c>
      <c r="K52" s="1" t="s">
        <v>24</v>
      </c>
    </row>
    <row r="53" spans="1:11">
      <c r="A53" s="1" t="str">
        <f t="shared" si="5"/>
        <v/>
      </c>
      <c r="B53" s="1" t="str">
        <f t="shared" si="6"/>
        <v/>
      </c>
      <c r="C53" s="1" t="str">
        <f t="shared" si="7"/>
        <v/>
      </c>
      <c r="D53" s="1" t="str">
        <f t="shared" si="8"/>
        <v/>
      </c>
      <c r="G53" s="1" t="s">
        <v>358</v>
      </c>
      <c r="H53" s="1">
        <v>136</v>
      </c>
      <c r="I53" s="1" t="s">
        <v>359</v>
      </c>
      <c r="J53" s="13">
        <f t="shared" si="4"/>
        <v>0</v>
      </c>
      <c r="K53" s="1" t="s">
        <v>26</v>
      </c>
    </row>
    <row r="54" spans="1:11">
      <c r="A54" s="1" t="str">
        <f t="shared" si="5"/>
        <v/>
      </c>
      <c r="B54" s="1" t="str">
        <f t="shared" si="6"/>
        <v/>
      </c>
      <c r="C54" s="1" t="str">
        <f t="shared" si="7"/>
        <v/>
      </c>
      <c r="D54" s="1" t="str">
        <f t="shared" si="8"/>
        <v/>
      </c>
      <c r="G54" s="1" t="s">
        <v>351</v>
      </c>
      <c r="H54" s="1">
        <v>7.12</v>
      </c>
      <c r="I54" s="1" t="s">
        <v>32</v>
      </c>
      <c r="J54" s="13">
        <f t="shared" si="4"/>
        <v>7.12</v>
      </c>
      <c r="K54" s="1" t="s">
        <v>24</v>
      </c>
    </row>
    <row r="55" spans="1:11">
      <c r="A55" s="1" t="str">
        <f t="shared" si="5"/>
        <v/>
      </c>
      <c r="B55" s="1" t="str">
        <f t="shared" si="6"/>
        <v/>
      </c>
      <c r="C55" s="1" t="str">
        <f t="shared" si="7"/>
        <v/>
      </c>
      <c r="D55" s="1" t="str">
        <f t="shared" si="8"/>
        <v/>
      </c>
      <c r="G55" s="1" t="s">
        <v>274</v>
      </c>
      <c r="H55" s="1">
        <v>30</v>
      </c>
      <c r="I55" s="1" t="s">
        <v>32</v>
      </c>
      <c r="J55" s="13">
        <f t="shared" si="4"/>
        <v>30</v>
      </c>
      <c r="K55" s="1" t="s">
        <v>85</v>
      </c>
    </row>
    <row r="56" spans="1:11">
      <c r="A56" s="1" t="str">
        <f t="shared" si="5"/>
        <v/>
      </c>
      <c r="B56" s="1" t="str">
        <f t="shared" si="6"/>
        <v/>
      </c>
      <c r="C56" s="1" t="str">
        <f t="shared" si="7"/>
        <v/>
      </c>
      <c r="D56" s="1" t="str">
        <f t="shared" si="8"/>
        <v/>
      </c>
      <c r="G56" s="1" t="s">
        <v>293</v>
      </c>
      <c r="H56" s="1">
        <v>74.13</v>
      </c>
      <c r="I56" s="1" t="s">
        <v>32</v>
      </c>
      <c r="J56" s="13">
        <f t="shared" si="4"/>
        <v>74.13</v>
      </c>
      <c r="K56" s="1" t="s">
        <v>26</v>
      </c>
    </row>
    <row r="57" spans="1:11">
      <c r="A57" s="1" t="str">
        <f t="shared" si="5"/>
        <v/>
      </c>
      <c r="B57" s="1" t="str">
        <f t="shared" si="6"/>
        <v/>
      </c>
      <c r="C57" s="1" t="str">
        <f t="shared" si="7"/>
        <v/>
      </c>
      <c r="D57" s="1" t="str">
        <f t="shared" si="8"/>
        <v/>
      </c>
      <c r="G57" s="1" t="s">
        <v>366</v>
      </c>
      <c r="H57" s="1">
        <v>58.25</v>
      </c>
      <c r="I57" s="1" t="s">
        <v>32</v>
      </c>
      <c r="J57" s="13">
        <f t="shared" si="4"/>
        <v>58.25</v>
      </c>
      <c r="K57" s="1" t="s">
        <v>98</v>
      </c>
    </row>
    <row r="58" spans="1:11">
      <c r="A58" s="1" t="str">
        <f t="shared" si="5"/>
        <v/>
      </c>
      <c r="B58" s="1" t="str">
        <f t="shared" si="6"/>
        <v/>
      </c>
      <c r="C58" s="1" t="str">
        <f t="shared" si="7"/>
        <v/>
      </c>
      <c r="D58" s="1" t="str">
        <f t="shared" si="8"/>
        <v/>
      </c>
      <c r="G58" s="1" t="s">
        <v>370</v>
      </c>
      <c r="H58" s="1">
        <v>80</v>
      </c>
      <c r="I58" s="1" t="s">
        <v>32</v>
      </c>
      <c r="J58" s="13">
        <f t="shared" si="4"/>
        <v>80</v>
      </c>
      <c r="K58" s="1" t="s">
        <v>98</v>
      </c>
    </row>
    <row r="59" spans="1:11">
      <c r="A59" s="1" t="str">
        <f t="shared" si="5"/>
        <v/>
      </c>
      <c r="B59" s="1" t="str">
        <f t="shared" si="6"/>
        <v/>
      </c>
      <c r="C59" s="1" t="str">
        <f t="shared" si="7"/>
        <v/>
      </c>
      <c r="D59" s="1" t="str">
        <f t="shared" si="8"/>
        <v/>
      </c>
      <c r="G59" s="1" t="s">
        <v>371</v>
      </c>
      <c r="H59" s="1">
        <v>14</v>
      </c>
      <c r="I59" s="1" t="s">
        <v>32</v>
      </c>
      <c r="J59" s="13">
        <f t="shared" si="4"/>
        <v>14</v>
      </c>
      <c r="K59" s="1" t="s">
        <v>98</v>
      </c>
    </row>
    <row r="60" spans="1:11">
      <c r="A60" s="1" t="str">
        <f t="shared" si="5"/>
        <v/>
      </c>
      <c r="B60" s="1" t="str">
        <f t="shared" si="6"/>
        <v/>
      </c>
      <c r="C60" s="1" t="str">
        <f t="shared" si="7"/>
        <v/>
      </c>
      <c r="D60" s="1" t="str">
        <f t="shared" si="8"/>
        <v/>
      </c>
      <c r="G60" s="1" t="s">
        <v>278</v>
      </c>
      <c r="H60" s="1">
        <v>13</v>
      </c>
      <c r="I60" s="1" t="s">
        <v>32</v>
      </c>
      <c r="J60" s="13">
        <f t="shared" si="4"/>
        <v>13</v>
      </c>
      <c r="K60" s="1" t="s">
        <v>24</v>
      </c>
    </row>
    <row r="61" spans="1:11">
      <c r="A61" s="1" t="str">
        <f t="shared" si="5"/>
        <v/>
      </c>
      <c r="B61" s="1" t="str">
        <f t="shared" si="6"/>
        <v/>
      </c>
      <c r="C61" s="1" t="str">
        <f t="shared" si="7"/>
        <v/>
      </c>
      <c r="D61" s="1" t="str">
        <f t="shared" si="8"/>
        <v/>
      </c>
      <c r="G61" s="1" t="s">
        <v>87</v>
      </c>
      <c r="H61" s="1">
        <v>29.82</v>
      </c>
      <c r="I61" s="1" t="s">
        <v>32</v>
      </c>
      <c r="J61" s="13">
        <f t="shared" si="4"/>
        <v>29.82</v>
      </c>
      <c r="K61" s="1" t="s">
        <v>24</v>
      </c>
    </row>
    <row r="62" spans="1:11">
      <c r="A62" s="1" t="str">
        <f t="shared" si="5"/>
        <v/>
      </c>
      <c r="B62" s="1" t="str">
        <f t="shared" si="6"/>
        <v/>
      </c>
      <c r="C62" s="1" t="str">
        <f t="shared" si="7"/>
        <v/>
      </c>
      <c r="D62" s="1" t="str">
        <f t="shared" si="8"/>
        <v/>
      </c>
      <c r="G62" s="1" t="s">
        <v>374</v>
      </c>
      <c r="H62" s="1">
        <v>19.989999999999998</v>
      </c>
      <c r="I62" s="1" t="s">
        <v>32</v>
      </c>
      <c r="J62" s="13">
        <f t="shared" si="4"/>
        <v>19.989999999999998</v>
      </c>
      <c r="K62" s="1" t="s">
        <v>24</v>
      </c>
    </row>
    <row r="63" spans="1:11">
      <c r="A63" s="1" t="str">
        <f t="shared" si="5"/>
        <v/>
      </c>
      <c r="B63" s="1" t="str">
        <f t="shared" si="6"/>
        <v/>
      </c>
      <c r="C63" s="1" t="str">
        <f t="shared" si="7"/>
        <v/>
      </c>
      <c r="D63" s="1" t="str">
        <f t="shared" si="8"/>
        <v/>
      </c>
      <c r="G63" s="1" t="s">
        <v>375</v>
      </c>
      <c r="H63" s="1">
        <v>85.87</v>
      </c>
      <c r="I63" s="1" t="s">
        <v>32</v>
      </c>
      <c r="J63" s="13">
        <f t="shared" si="4"/>
        <v>85.87</v>
      </c>
      <c r="K63" s="1" t="s">
        <v>24</v>
      </c>
    </row>
    <row r="64" spans="1:11">
      <c r="A64" s="1" t="str">
        <f t="shared" si="5"/>
        <v/>
      </c>
      <c r="B64" s="1" t="str">
        <f t="shared" si="6"/>
        <v/>
      </c>
      <c r="C64" s="1" t="str">
        <f t="shared" si="7"/>
        <v/>
      </c>
      <c r="D64" s="1" t="str">
        <f t="shared" si="8"/>
        <v/>
      </c>
      <c r="G64" s="1" t="s">
        <v>87</v>
      </c>
      <c r="H64" s="1">
        <v>40.83</v>
      </c>
      <c r="I64" s="1" t="s">
        <v>32</v>
      </c>
      <c r="J64" s="13">
        <f t="shared" si="4"/>
        <v>40.83</v>
      </c>
      <c r="K64" s="1" t="s">
        <v>24</v>
      </c>
    </row>
    <row r="65" spans="1:11">
      <c r="A65" s="1" t="str">
        <f t="shared" si="5"/>
        <v/>
      </c>
      <c r="B65" s="1" t="str">
        <f t="shared" si="6"/>
        <v/>
      </c>
      <c r="C65" s="1" t="str">
        <f t="shared" si="7"/>
        <v/>
      </c>
      <c r="D65" s="1" t="str">
        <f t="shared" si="8"/>
        <v/>
      </c>
      <c r="G65" s="1" t="s">
        <v>87</v>
      </c>
      <c r="H65" s="1">
        <v>77.77</v>
      </c>
      <c r="I65" s="1" t="s">
        <v>32</v>
      </c>
      <c r="J65" s="13">
        <f t="shared" si="4"/>
        <v>77.77</v>
      </c>
      <c r="K65" s="1" t="s">
        <v>24</v>
      </c>
    </row>
    <row r="66" spans="1:11">
      <c r="A66" s="1" t="str">
        <f t="shared" si="5"/>
        <v/>
      </c>
      <c r="B66" s="1" t="str">
        <f t="shared" si="6"/>
        <v/>
      </c>
      <c r="C66" s="1" t="str">
        <f t="shared" si="7"/>
        <v/>
      </c>
      <c r="D66" s="1" t="str">
        <f t="shared" si="8"/>
        <v/>
      </c>
      <c r="G66" s="1" t="s">
        <v>378</v>
      </c>
      <c r="H66" s="1">
        <v>59.47</v>
      </c>
      <c r="I66" s="1" t="s">
        <v>32</v>
      </c>
      <c r="J66" s="13">
        <f t="shared" si="4"/>
        <v>59.47</v>
      </c>
      <c r="K66" s="1" t="s">
        <v>24</v>
      </c>
    </row>
    <row r="67" spans="1:11">
      <c r="A67" s="1" t="str">
        <f t="shared" si="5"/>
        <v/>
      </c>
      <c r="B67" s="1" t="str">
        <f t="shared" si="6"/>
        <v/>
      </c>
      <c r="C67" s="1" t="str">
        <f t="shared" si="7"/>
        <v/>
      </c>
      <c r="D67" s="1" t="str">
        <f t="shared" si="8"/>
        <v/>
      </c>
      <c r="G67" s="1" t="s">
        <v>357</v>
      </c>
      <c r="H67" s="1">
        <v>26.95</v>
      </c>
      <c r="I67" s="1" t="s">
        <v>32</v>
      </c>
      <c r="J67" s="13">
        <f t="shared" si="4"/>
        <v>26.95</v>
      </c>
      <c r="K67" s="1" t="s">
        <v>26</v>
      </c>
    </row>
    <row r="68" spans="1:11">
      <c r="A68" s="1" t="str">
        <f t="shared" si="5"/>
        <v/>
      </c>
      <c r="B68" s="1" t="str">
        <f t="shared" si="6"/>
        <v/>
      </c>
      <c r="C68" s="1" t="str">
        <f t="shared" si="7"/>
        <v/>
      </c>
      <c r="D68" s="1" t="str">
        <f t="shared" si="8"/>
        <v/>
      </c>
      <c r="G68" s="1" t="s">
        <v>87</v>
      </c>
      <c r="H68" s="1">
        <v>30.39</v>
      </c>
      <c r="I68" s="1" t="s">
        <v>32</v>
      </c>
      <c r="J68" s="13">
        <f t="shared" si="4"/>
        <v>30.39</v>
      </c>
      <c r="K68" s="1" t="s">
        <v>24</v>
      </c>
    </row>
    <row r="69" spans="1:11">
      <c r="A69" s="1" t="str">
        <f t="shared" si="5"/>
        <v/>
      </c>
      <c r="B69" s="1" t="str">
        <f t="shared" si="6"/>
        <v/>
      </c>
      <c r="C69" s="1" t="str">
        <f t="shared" si="7"/>
        <v/>
      </c>
      <c r="D69" s="1" t="str">
        <f t="shared" si="8"/>
        <v/>
      </c>
      <c r="G69" s="1" t="s">
        <v>309</v>
      </c>
      <c r="H69" s="1">
        <v>156.65</v>
      </c>
      <c r="I69" s="1" t="s">
        <v>32</v>
      </c>
      <c r="J69" s="13">
        <f t="shared" si="4"/>
        <v>156.65</v>
      </c>
      <c r="K69" s="1" t="s">
        <v>24</v>
      </c>
    </row>
    <row r="70" spans="1:11">
      <c r="A70" s="1" t="str">
        <f t="shared" si="5"/>
        <v/>
      </c>
      <c r="B70" s="1" t="str">
        <f t="shared" si="6"/>
        <v/>
      </c>
      <c r="C70" s="1" t="str">
        <f t="shared" si="7"/>
        <v/>
      </c>
      <c r="D70" s="1" t="str">
        <f t="shared" si="8"/>
        <v/>
      </c>
      <c r="G70" s="1" t="s">
        <v>126</v>
      </c>
      <c r="H70" s="1">
        <v>9</v>
      </c>
      <c r="I70" s="1" t="s">
        <v>32</v>
      </c>
      <c r="J70" s="13">
        <f t="shared" si="4"/>
        <v>9</v>
      </c>
      <c r="K70" s="1" t="s">
        <v>55</v>
      </c>
    </row>
    <row r="71" spans="1:11">
      <c r="A71" s="1" t="str">
        <f t="shared" si="5"/>
        <v/>
      </c>
      <c r="B71" s="1" t="str">
        <f t="shared" si="6"/>
        <v/>
      </c>
      <c r="C71" s="1" t="str">
        <f t="shared" si="7"/>
        <v/>
      </c>
      <c r="D71" s="1" t="str">
        <f t="shared" si="8"/>
        <v/>
      </c>
      <c r="G71" s="1" t="s">
        <v>112</v>
      </c>
      <c r="H71" s="1">
        <v>10.85</v>
      </c>
      <c r="I71" s="1" t="s">
        <v>32</v>
      </c>
      <c r="J71" s="13">
        <f t="shared" si="4"/>
        <v>10.85</v>
      </c>
      <c r="K71" s="1" t="s">
        <v>89</v>
      </c>
    </row>
    <row r="72" spans="1:11">
      <c r="A72" s="1" t="str">
        <f t="shared" si="5"/>
        <v/>
      </c>
      <c r="B72" s="1" t="str">
        <f t="shared" si="6"/>
        <v/>
      </c>
      <c r="C72" s="1" t="str">
        <f t="shared" si="7"/>
        <v/>
      </c>
      <c r="D72" s="1" t="str">
        <f t="shared" si="8"/>
        <v/>
      </c>
      <c r="G72" s="1" t="s">
        <v>387</v>
      </c>
      <c r="H72" s="1">
        <v>3.5</v>
      </c>
      <c r="I72" s="1" t="s">
        <v>32</v>
      </c>
      <c r="J72" s="13">
        <f t="shared" si="4"/>
        <v>3.5</v>
      </c>
      <c r="K72" s="1" t="s">
        <v>55</v>
      </c>
    </row>
    <row r="73" spans="1:11">
      <c r="A73" s="1" t="str">
        <f t="shared" si="5"/>
        <v/>
      </c>
      <c r="B73" s="1" t="str">
        <f t="shared" si="6"/>
        <v/>
      </c>
      <c r="C73" s="1" t="str">
        <f t="shared" si="7"/>
        <v/>
      </c>
      <c r="D73" s="1" t="str">
        <f t="shared" si="8"/>
        <v/>
      </c>
      <c r="G73" s="1" t="s">
        <v>388</v>
      </c>
      <c r="H73" s="1">
        <v>24.2</v>
      </c>
      <c r="I73" s="1" t="s">
        <v>32</v>
      </c>
      <c r="J73" s="13">
        <f t="shared" si="4"/>
        <v>24.2</v>
      </c>
      <c r="K73" s="1" t="s">
        <v>24</v>
      </c>
    </row>
    <row r="74" spans="1:11">
      <c r="A74" s="1" t="str">
        <f t="shared" si="5"/>
        <v/>
      </c>
      <c r="B74" s="1" t="str">
        <f t="shared" si="6"/>
        <v/>
      </c>
      <c r="C74" s="1" t="str">
        <f t="shared" si="7"/>
        <v/>
      </c>
      <c r="D74" s="1" t="str">
        <f t="shared" si="8"/>
        <v/>
      </c>
      <c r="G74" s="1" t="s">
        <v>115</v>
      </c>
      <c r="H74" s="1">
        <v>13</v>
      </c>
      <c r="I74" s="1" t="s">
        <v>32</v>
      </c>
      <c r="J74" s="13">
        <f t="shared" si="4"/>
        <v>13</v>
      </c>
      <c r="K74" s="1" t="s">
        <v>59</v>
      </c>
    </row>
    <row r="75" spans="1:11">
      <c r="A75" s="1" t="str">
        <f t="shared" si="5"/>
        <v/>
      </c>
      <c r="B75" s="1" t="str">
        <f t="shared" si="6"/>
        <v/>
      </c>
      <c r="C75" s="1" t="str">
        <f t="shared" si="7"/>
        <v/>
      </c>
      <c r="D75" s="1" t="str">
        <f t="shared" si="8"/>
        <v/>
      </c>
      <c r="G75" s="1" t="s">
        <v>229</v>
      </c>
      <c r="H75" s="1">
        <v>7.22</v>
      </c>
      <c r="I75" s="1" t="s">
        <v>32</v>
      </c>
      <c r="J75" s="13">
        <f t="shared" si="4"/>
        <v>7.22</v>
      </c>
      <c r="K75" s="1" t="s">
        <v>24</v>
      </c>
    </row>
    <row r="76" spans="1:11">
      <c r="A76" s="1" t="str">
        <f t="shared" si="5"/>
        <v/>
      </c>
      <c r="B76" s="1" t="str">
        <f t="shared" si="6"/>
        <v/>
      </c>
      <c r="C76" s="1" t="str">
        <f t="shared" si="7"/>
        <v/>
      </c>
      <c r="D76" s="1" t="str">
        <f t="shared" si="8"/>
        <v/>
      </c>
      <c r="G76" s="1" t="s">
        <v>126</v>
      </c>
      <c r="H76" s="1">
        <v>9</v>
      </c>
      <c r="I76" s="1" t="s">
        <v>32</v>
      </c>
      <c r="J76" s="13">
        <f t="shared" si="4"/>
        <v>9</v>
      </c>
      <c r="K76" s="1" t="s">
        <v>55</v>
      </c>
    </row>
    <row r="77" spans="1:11">
      <c r="A77" s="1" t="str">
        <f t="shared" si="5"/>
        <v/>
      </c>
      <c r="B77" s="1" t="str">
        <f t="shared" si="6"/>
        <v/>
      </c>
      <c r="C77" s="1" t="str">
        <f t="shared" si="7"/>
        <v/>
      </c>
      <c r="D77" s="1" t="str">
        <f t="shared" si="8"/>
        <v/>
      </c>
      <c r="G77" s="1" t="s">
        <v>112</v>
      </c>
      <c r="H77" s="1">
        <v>10.17</v>
      </c>
      <c r="I77" s="1" t="s">
        <v>32</v>
      </c>
      <c r="J77" s="13">
        <f t="shared" si="4"/>
        <v>10.17</v>
      </c>
      <c r="K77" s="1" t="s">
        <v>89</v>
      </c>
    </row>
    <row r="78" spans="1:11">
      <c r="A78" s="1" t="str">
        <f t="shared" si="5"/>
        <v/>
      </c>
      <c r="B78" s="1" t="str">
        <f t="shared" si="6"/>
        <v/>
      </c>
      <c r="C78" s="1" t="str">
        <f t="shared" si="7"/>
        <v/>
      </c>
      <c r="D78" s="1" t="str">
        <f t="shared" si="8"/>
        <v/>
      </c>
      <c r="G78" s="1" t="s">
        <v>87</v>
      </c>
      <c r="H78" s="1">
        <v>32.44</v>
      </c>
      <c r="I78" s="1" t="s">
        <v>32</v>
      </c>
      <c r="J78" s="13">
        <f t="shared" si="4"/>
        <v>32.44</v>
      </c>
      <c r="K78" s="1" t="s">
        <v>24</v>
      </c>
    </row>
    <row r="79" spans="1:11">
      <c r="A79" s="1" t="str">
        <f t="shared" si="5"/>
        <v/>
      </c>
      <c r="B79" s="1" t="str">
        <f t="shared" si="6"/>
        <v/>
      </c>
      <c r="C79" s="1" t="str">
        <f t="shared" si="7"/>
        <v/>
      </c>
      <c r="D79" s="1" t="str">
        <f t="shared" si="8"/>
        <v/>
      </c>
      <c r="G79" s="1" t="s">
        <v>392</v>
      </c>
      <c r="H79" s="1">
        <v>23.98</v>
      </c>
      <c r="I79" s="1" t="s">
        <v>32</v>
      </c>
      <c r="J79" s="13">
        <f t="shared" si="4"/>
        <v>23.98</v>
      </c>
      <c r="K79" s="1" t="s">
        <v>59</v>
      </c>
    </row>
    <row r="80" spans="1:11">
      <c r="A80" s="1" t="str">
        <f t="shared" si="5"/>
        <v/>
      </c>
      <c r="B80" s="1" t="str">
        <f t="shared" si="6"/>
        <v/>
      </c>
      <c r="C80" s="1" t="str">
        <f t="shared" si="7"/>
        <v/>
      </c>
      <c r="D80" s="1" t="str">
        <f t="shared" si="8"/>
        <v/>
      </c>
      <c r="G80" s="1" t="s">
        <v>87</v>
      </c>
      <c r="H80" s="1">
        <v>26.21</v>
      </c>
      <c r="I80" s="1" t="s">
        <v>32</v>
      </c>
      <c r="J80" s="13">
        <f t="shared" si="4"/>
        <v>26.21</v>
      </c>
      <c r="K80" s="1" t="s">
        <v>24</v>
      </c>
    </row>
    <row r="81" spans="1:11">
      <c r="A81" s="1" t="str">
        <f t="shared" si="5"/>
        <v/>
      </c>
      <c r="B81" s="1" t="str">
        <f t="shared" si="6"/>
        <v/>
      </c>
      <c r="C81" s="1" t="str">
        <f t="shared" si="7"/>
        <v/>
      </c>
      <c r="D81" s="1" t="str">
        <f t="shared" si="8"/>
        <v/>
      </c>
      <c r="G81" s="1" t="s">
        <v>284</v>
      </c>
      <c r="H81" s="1">
        <v>25</v>
      </c>
      <c r="I81" s="1" t="s">
        <v>32</v>
      </c>
      <c r="J81" s="13">
        <f t="shared" si="4"/>
        <v>25</v>
      </c>
      <c r="K81" s="1" t="s">
        <v>59</v>
      </c>
    </row>
    <row r="82" spans="1:11">
      <c r="A82" s="1" t="str">
        <f t="shared" si="5"/>
        <v/>
      </c>
      <c r="B82" s="1" t="str">
        <f t="shared" si="6"/>
        <v/>
      </c>
      <c r="C82" s="1" t="str">
        <f t="shared" si="7"/>
        <v/>
      </c>
      <c r="D82" s="1" t="str">
        <f t="shared" si="8"/>
        <v/>
      </c>
      <c r="G82" s="1" t="s">
        <v>87</v>
      </c>
      <c r="H82" s="1">
        <v>31.9</v>
      </c>
      <c r="I82" s="1" t="s">
        <v>32</v>
      </c>
      <c r="J82" s="13">
        <f t="shared" si="4"/>
        <v>31.9</v>
      </c>
      <c r="K82" s="1" t="s">
        <v>24</v>
      </c>
    </row>
    <row r="83" spans="1:11">
      <c r="A83" s="1" t="str">
        <f t="shared" si="5"/>
        <v/>
      </c>
      <c r="B83" s="1" t="str">
        <f t="shared" si="6"/>
        <v/>
      </c>
      <c r="C83" s="1" t="str">
        <f t="shared" si="7"/>
        <v/>
      </c>
      <c r="D83" s="1" t="str">
        <f t="shared" si="8"/>
        <v/>
      </c>
      <c r="G83" s="1" t="s">
        <v>397</v>
      </c>
      <c r="H83" s="1">
        <v>20.9</v>
      </c>
      <c r="I83" s="1" t="s">
        <v>32</v>
      </c>
      <c r="J83" s="13">
        <f t="shared" si="4"/>
        <v>20.9</v>
      </c>
      <c r="K83" s="1" t="s">
        <v>98</v>
      </c>
    </row>
    <row r="84" spans="1:11">
      <c r="A84" s="1" t="str">
        <f t="shared" si="5"/>
        <v/>
      </c>
      <c r="B84" s="1" t="str">
        <f t="shared" si="6"/>
        <v/>
      </c>
      <c r="C84" s="1" t="str">
        <f t="shared" si="7"/>
        <v/>
      </c>
      <c r="D84" s="1" t="str">
        <f t="shared" si="8"/>
        <v/>
      </c>
      <c r="G84" s="1" t="s">
        <v>399</v>
      </c>
      <c r="H84" s="1">
        <v>240</v>
      </c>
      <c r="I84" s="1" t="s">
        <v>32</v>
      </c>
      <c r="J84" s="13">
        <f t="shared" si="4"/>
        <v>240</v>
      </c>
      <c r="K84" s="1" t="s">
        <v>29</v>
      </c>
    </row>
    <row r="85" spans="1:11">
      <c r="A85" s="1" t="str">
        <f t="shared" si="5"/>
        <v/>
      </c>
      <c r="B85" s="1" t="str">
        <f t="shared" si="6"/>
        <v/>
      </c>
      <c r="C85" s="1" t="str">
        <f t="shared" si="7"/>
        <v/>
      </c>
      <c r="D85" s="1" t="str">
        <f t="shared" si="8"/>
        <v/>
      </c>
      <c r="G85" s="1" t="s">
        <v>400</v>
      </c>
      <c r="H85" s="1">
        <v>107</v>
      </c>
      <c r="I85" s="1" t="s">
        <v>32</v>
      </c>
      <c r="J85" s="13">
        <f t="shared" si="4"/>
        <v>107</v>
      </c>
      <c r="K85" s="1" t="s">
        <v>98</v>
      </c>
    </row>
    <row r="86" spans="1:11">
      <c r="A86" s="1" t="str">
        <f t="shared" si="5"/>
        <v/>
      </c>
      <c r="B86" s="1" t="str">
        <f t="shared" si="6"/>
        <v/>
      </c>
      <c r="C86" s="1" t="str">
        <f t="shared" si="7"/>
        <v/>
      </c>
      <c r="D86" s="1" t="str">
        <f t="shared" si="8"/>
        <v/>
      </c>
      <c r="G86" s="14" t="s">
        <v>225</v>
      </c>
      <c r="H86" s="1">
        <v>184.95</v>
      </c>
      <c r="I86" s="1" t="s">
        <v>32</v>
      </c>
      <c r="J86" s="13">
        <f t="shared" si="4"/>
        <v>184.95</v>
      </c>
      <c r="K86" s="1" t="s">
        <v>83</v>
      </c>
    </row>
    <row r="87" spans="1:11">
      <c r="A87" s="1" t="str">
        <f t="shared" si="5"/>
        <v/>
      </c>
      <c r="B87" s="1" t="str">
        <f t="shared" si="6"/>
        <v/>
      </c>
      <c r="C87" s="1" t="str">
        <f t="shared" si="7"/>
        <v/>
      </c>
      <c r="D87" s="1" t="str">
        <f t="shared" si="8"/>
        <v/>
      </c>
      <c r="G87" s="1" t="s">
        <v>401</v>
      </c>
      <c r="H87" s="1">
        <v>16.899999999999999</v>
      </c>
      <c r="I87" s="1" t="s">
        <v>32</v>
      </c>
      <c r="J87" s="13">
        <f t="shared" si="4"/>
        <v>16.899999999999999</v>
      </c>
      <c r="K87" s="1" t="s">
        <v>59</v>
      </c>
    </row>
    <row r="88" spans="1:11">
      <c r="A88" s="1" t="str">
        <f t="shared" si="5"/>
        <v/>
      </c>
      <c r="B88" s="1" t="str">
        <f t="shared" si="6"/>
        <v/>
      </c>
      <c r="C88" s="1" t="str">
        <f t="shared" si="7"/>
        <v/>
      </c>
      <c r="D88" s="1" t="str">
        <f t="shared" si="8"/>
        <v/>
      </c>
      <c r="G88" s="1" t="s">
        <v>126</v>
      </c>
      <c r="H88" s="1">
        <v>9</v>
      </c>
      <c r="I88" s="1" t="s">
        <v>32</v>
      </c>
      <c r="J88" s="13">
        <f t="shared" si="4"/>
        <v>9</v>
      </c>
      <c r="K88" s="1" t="s">
        <v>55</v>
      </c>
    </row>
    <row r="89" spans="1:11">
      <c r="A89" s="1" t="str">
        <f t="shared" si="5"/>
        <v/>
      </c>
      <c r="B89" s="1" t="str">
        <f t="shared" si="6"/>
        <v/>
      </c>
      <c r="C89" s="1" t="str">
        <f t="shared" si="7"/>
        <v/>
      </c>
      <c r="D89" s="1" t="str">
        <f t="shared" si="8"/>
        <v/>
      </c>
      <c r="G89" s="1" t="s">
        <v>397</v>
      </c>
      <c r="H89" s="1">
        <v>17.600000000000001</v>
      </c>
      <c r="I89" s="1" t="s">
        <v>32</v>
      </c>
      <c r="J89" s="13">
        <f t="shared" si="4"/>
        <v>17.600000000000001</v>
      </c>
      <c r="K89" s="1" t="s">
        <v>98</v>
      </c>
    </row>
    <row r="90" spans="1:11">
      <c r="A90" s="1" t="str">
        <f t="shared" si="5"/>
        <v/>
      </c>
      <c r="B90" s="1" t="str">
        <f t="shared" si="6"/>
        <v/>
      </c>
      <c r="C90" s="1" t="str">
        <f t="shared" si="7"/>
        <v/>
      </c>
      <c r="D90" s="1" t="str">
        <f t="shared" si="8"/>
        <v/>
      </c>
      <c r="G90" s="1" t="s">
        <v>402</v>
      </c>
      <c r="H90" s="1">
        <v>48.5</v>
      </c>
      <c r="I90" s="1" t="s">
        <v>32</v>
      </c>
      <c r="J90" s="13">
        <f t="shared" si="4"/>
        <v>48.5</v>
      </c>
      <c r="K90" s="1" t="s">
        <v>24</v>
      </c>
    </row>
    <row r="91" spans="1:11">
      <c r="A91" s="1" t="str">
        <f t="shared" si="5"/>
        <v/>
      </c>
      <c r="B91" s="1" t="str">
        <f t="shared" si="6"/>
        <v/>
      </c>
      <c r="C91" s="1" t="str">
        <f t="shared" si="7"/>
        <v/>
      </c>
      <c r="D91" s="1" t="str">
        <f t="shared" si="8"/>
        <v/>
      </c>
      <c r="G91" s="1" t="s">
        <v>126</v>
      </c>
      <c r="H91" s="1">
        <v>9</v>
      </c>
      <c r="I91" s="1" t="s">
        <v>32</v>
      </c>
      <c r="J91" s="13">
        <f t="shared" si="4"/>
        <v>9</v>
      </c>
      <c r="K91" s="1" t="s">
        <v>55</v>
      </c>
    </row>
    <row r="92" spans="1:11">
      <c r="A92" s="1" t="str">
        <f t="shared" si="5"/>
        <v/>
      </c>
      <c r="B92" s="1" t="str">
        <f t="shared" si="6"/>
        <v/>
      </c>
      <c r="C92" s="1" t="str">
        <f t="shared" si="7"/>
        <v/>
      </c>
      <c r="D92" s="1" t="str">
        <f t="shared" si="8"/>
        <v/>
      </c>
      <c r="G92" s="1" t="s">
        <v>62</v>
      </c>
      <c r="H92" s="1">
        <v>0.99</v>
      </c>
      <c r="I92" s="1" t="s">
        <v>32</v>
      </c>
      <c r="J92" s="13">
        <f t="shared" si="4"/>
        <v>0.99</v>
      </c>
      <c r="K92" s="1" t="s">
        <v>44</v>
      </c>
    </row>
    <row r="93" spans="1:11">
      <c r="A93" s="1" t="str">
        <f t="shared" si="5"/>
        <v/>
      </c>
      <c r="B93" s="1" t="str">
        <f t="shared" si="6"/>
        <v/>
      </c>
      <c r="C93" s="1" t="str">
        <f t="shared" si="7"/>
        <v/>
      </c>
      <c r="D93" s="1" t="str">
        <f t="shared" si="8"/>
        <v/>
      </c>
      <c r="G93" s="1" t="s">
        <v>126</v>
      </c>
      <c r="H93" s="1">
        <v>9</v>
      </c>
      <c r="I93" s="1" t="s">
        <v>32</v>
      </c>
      <c r="J93" s="13">
        <f t="shared" si="4"/>
        <v>9</v>
      </c>
      <c r="K93" s="1" t="s">
        <v>55</v>
      </c>
    </row>
    <row r="94" spans="1:11">
      <c r="A94" s="1" t="str">
        <f t="shared" si="5"/>
        <v/>
      </c>
      <c r="B94" s="1" t="str">
        <f t="shared" si="6"/>
        <v/>
      </c>
      <c r="C94" s="1" t="str">
        <f t="shared" si="7"/>
        <v/>
      </c>
      <c r="D94" s="1" t="str">
        <f t="shared" si="8"/>
        <v/>
      </c>
      <c r="G94" s="1" t="s">
        <v>126</v>
      </c>
      <c r="H94" s="1">
        <v>9</v>
      </c>
      <c r="I94" s="1" t="s">
        <v>32</v>
      </c>
      <c r="J94" s="13">
        <f t="shared" si="4"/>
        <v>9</v>
      </c>
      <c r="K94" s="1" t="s">
        <v>55</v>
      </c>
    </row>
    <row r="95" spans="1:11">
      <c r="A95" s="1" t="str">
        <f t="shared" si="5"/>
        <v/>
      </c>
      <c r="B95" s="1" t="str">
        <f t="shared" si="6"/>
        <v/>
      </c>
      <c r="C95" s="1" t="str">
        <f t="shared" si="7"/>
        <v/>
      </c>
      <c r="D95" s="1" t="str">
        <f t="shared" si="8"/>
        <v/>
      </c>
      <c r="G95" s="1" t="s">
        <v>87</v>
      </c>
      <c r="H95" s="1">
        <v>84.89</v>
      </c>
      <c r="I95" s="1" t="s">
        <v>32</v>
      </c>
      <c r="J95" s="13">
        <f t="shared" si="4"/>
        <v>84.89</v>
      </c>
      <c r="K95" s="1" t="s">
        <v>24</v>
      </c>
    </row>
    <row r="96" spans="1:11">
      <c r="A96" s="1" t="str">
        <f t="shared" si="5"/>
        <v/>
      </c>
      <c r="B96" s="1" t="str">
        <f t="shared" si="6"/>
        <v/>
      </c>
      <c r="C96" s="1" t="str">
        <f t="shared" si="7"/>
        <v/>
      </c>
      <c r="D96" s="1" t="str">
        <f t="shared" si="8"/>
        <v/>
      </c>
      <c r="G96" s="1" t="s">
        <v>87</v>
      </c>
      <c r="H96" s="1">
        <v>48.93</v>
      </c>
      <c r="I96" s="1" t="s">
        <v>32</v>
      </c>
      <c r="J96" s="13">
        <f t="shared" si="4"/>
        <v>48.93</v>
      </c>
      <c r="K96" s="1" t="s">
        <v>24</v>
      </c>
    </row>
    <row r="97" spans="1:11">
      <c r="A97" s="1" t="str">
        <f t="shared" si="5"/>
        <v/>
      </c>
      <c r="B97" s="1" t="str">
        <f t="shared" si="6"/>
        <v/>
      </c>
      <c r="C97" s="1" t="str">
        <f t="shared" si="7"/>
        <v/>
      </c>
      <c r="D97" s="1" t="str">
        <f t="shared" si="8"/>
        <v/>
      </c>
      <c r="G97" s="1" t="s">
        <v>403</v>
      </c>
      <c r="H97" s="1">
        <v>30</v>
      </c>
      <c r="I97" s="1" t="s">
        <v>32</v>
      </c>
      <c r="J97" s="13">
        <f t="shared" si="4"/>
        <v>30</v>
      </c>
      <c r="K97" s="1" t="s">
        <v>59</v>
      </c>
    </row>
    <row r="98" spans="1:11">
      <c r="A98" s="1" t="str">
        <f t="shared" si="5"/>
        <v/>
      </c>
      <c r="B98" s="1" t="str">
        <f t="shared" si="6"/>
        <v/>
      </c>
      <c r="C98" s="1" t="str">
        <f t="shared" si="7"/>
        <v/>
      </c>
      <c r="D98" s="1" t="str">
        <f t="shared" si="8"/>
        <v/>
      </c>
      <c r="G98" s="1" t="s">
        <v>124</v>
      </c>
      <c r="H98" s="1">
        <v>50</v>
      </c>
      <c r="I98" s="1" t="s">
        <v>32</v>
      </c>
      <c r="J98" s="13">
        <f t="shared" si="4"/>
        <v>50</v>
      </c>
      <c r="K98" s="1" t="s">
        <v>29</v>
      </c>
    </row>
    <row r="99" spans="1:11">
      <c r="A99" s="1" t="str">
        <f t="shared" si="5"/>
        <v/>
      </c>
      <c r="B99" s="1" t="str">
        <f t="shared" si="6"/>
        <v/>
      </c>
      <c r="C99" s="1" t="str">
        <f t="shared" si="7"/>
        <v/>
      </c>
      <c r="D99" s="1" t="str">
        <f t="shared" si="8"/>
        <v/>
      </c>
      <c r="G99" s="1" t="s">
        <v>269</v>
      </c>
      <c r="H99" s="1">
        <v>2</v>
      </c>
      <c r="I99" s="1" t="s">
        <v>32</v>
      </c>
      <c r="J99" s="13">
        <f t="shared" si="4"/>
        <v>2</v>
      </c>
      <c r="K99" s="1" t="s">
        <v>24</v>
      </c>
    </row>
    <row r="100" spans="1:11">
      <c r="A100" s="1" t="str">
        <f t="shared" si="5"/>
        <v/>
      </c>
      <c r="B100" s="1" t="str">
        <f t="shared" si="6"/>
        <v/>
      </c>
      <c r="C100" s="1" t="str">
        <f t="shared" si="7"/>
        <v/>
      </c>
      <c r="D100" s="1" t="str">
        <f t="shared" si="8"/>
        <v/>
      </c>
      <c r="G100" s="1" t="s">
        <v>404</v>
      </c>
      <c r="H100" s="1">
        <v>22.19</v>
      </c>
      <c r="I100" s="1" t="s">
        <v>32</v>
      </c>
      <c r="J100" s="13">
        <f t="shared" si="4"/>
        <v>22.19</v>
      </c>
      <c r="K100" s="1" t="s">
        <v>24</v>
      </c>
    </row>
    <row r="101" spans="1:11">
      <c r="A101" s="1" t="str">
        <f t="shared" si="5"/>
        <v/>
      </c>
      <c r="B101" s="1" t="str">
        <f t="shared" si="6"/>
        <v/>
      </c>
      <c r="C101" s="1" t="str">
        <f t="shared" si="7"/>
        <v/>
      </c>
      <c r="D101" s="1" t="str">
        <f t="shared" si="8"/>
        <v/>
      </c>
      <c r="G101" s="1" t="s">
        <v>405</v>
      </c>
      <c r="H101" s="1">
        <v>71.819999999999993</v>
      </c>
      <c r="I101" s="1" t="s">
        <v>32</v>
      </c>
      <c r="J101" s="13">
        <f t="shared" si="4"/>
        <v>71.819999999999993</v>
      </c>
      <c r="K101" s="1" t="s">
        <v>24</v>
      </c>
    </row>
    <row r="102" spans="1:11">
      <c r="A102" s="1" t="str">
        <f t="shared" si="5"/>
        <v/>
      </c>
      <c r="B102" s="1" t="str">
        <f t="shared" si="6"/>
        <v/>
      </c>
      <c r="C102" s="1" t="str">
        <f t="shared" si="7"/>
        <v/>
      </c>
      <c r="D102" s="1" t="str">
        <f t="shared" si="8"/>
        <v/>
      </c>
      <c r="G102" s="1" t="s">
        <v>406</v>
      </c>
      <c r="H102" s="1">
        <v>29.34</v>
      </c>
      <c r="I102" s="1" t="s">
        <v>32</v>
      </c>
      <c r="J102" s="13">
        <f t="shared" si="4"/>
        <v>29.34</v>
      </c>
      <c r="K102" s="1" t="s">
        <v>24</v>
      </c>
    </row>
    <row r="103" spans="1:11">
      <c r="A103" s="1" t="str">
        <f t="shared" si="5"/>
        <v/>
      </c>
      <c r="B103" s="1" t="str">
        <f t="shared" si="6"/>
        <v/>
      </c>
      <c r="C103" s="1" t="str">
        <f t="shared" si="7"/>
        <v/>
      </c>
      <c r="D103" s="1" t="str">
        <f t="shared" si="8"/>
        <v/>
      </c>
      <c r="G103" s="1" t="s">
        <v>407</v>
      </c>
      <c r="H103" s="1">
        <v>49.47</v>
      </c>
      <c r="I103" s="1" t="s">
        <v>32</v>
      </c>
      <c r="J103" s="13">
        <f t="shared" si="4"/>
        <v>49.47</v>
      </c>
      <c r="K103" s="1" t="s">
        <v>24</v>
      </c>
    </row>
    <row r="104" spans="1:11">
      <c r="A104" s="1" t="str">
        <f t="shared" si="5"/>
        <v/>
      </c>
      <c r="B104" s="1" t="str">
        <f t="shared" si="6"/>
        <v/>
      </c>
      <c r="C104" s="1" t="str">
        <f t="shared" si="7"/>
        <v/>
      </c>
      <c r="D104" s="1" t="str">
        <f t="shared" si="8"/>
        <v/>
      </c>
      <c r="G104" s="1" t="s">
        <v>408</v>
      </c>
      <c r="H104" s="1">
        <v>59.7</v>
      </c>
      <c r="I104" s="1" t="s">
        <v>32</v>
      </c>
      <c r="J104" s="13">
        <f t="shared" si="4"/>
        <v>59.7</v>
      </c>
      <c r="K104" s="1" t="s">
        <v>85</v>
      </c>
    </row>
    <row r="105" spans="1:11">
      <c r="A105" s="1" t="str">
        <f t="shared" si="5"/>
        <v/>
      </c>
      <c r="B105" s="1" t="str">
        <f t="shared" si="6"/>
        <v/>
      </c>
      <c r="C105" s="1" t="str">
        <f t="shared" si="7"/>
        <v/>
      </c>
      <c r="D105" s="1" t="str">
        <f t="shared" si="8"/>
        <v/>
      </c>
      <c r="G105" s="1" t="s">
        <v>409</v>
      </c>
      <c r="H105" s="1">
        <v>204.59</v>
      </c>
      <c r="I105" s="1" t="s">
        <v>32</v>
      </c>
      <c r="J105" s="13">
        <f t="shared" si="4"/>
        <v>204.59</v>
      </c>
      <c r="K105" s="1" t="s">
        <v>24</v>
      </c>
    </row>
    <row r="106" spans="1:11">
      <c r="A106" s="1" t="str">
        <f t="shared" si="5"/>
        <v/>
      </c>
      <c r="B106" s="1" t="str">
        <f t="shared" si="6"/>
        <v/>
      </c>
      <c r="C106" s="1" t="str">
        <f t="shared" si="7"/>
        <v/>
      </c>
      <c r="D106" s="1" t="str">
        <f t="shared" si="8"/>
        <v/>
      </c>
      <c r="G106" s="1" t="s">
        <v>391</v>
      </c>
      <c r="H106" s="1">
        <v>21.6</v>
      </c>
      <c r="I106" s="1" t="s">
        <v>32</v>
      </c>
      <c r="J106" s="13">
        <f t="shared" si="4"/>
        <v>21.6</v>
      </c>
      <c r="K106" s="1" t="s">
        <v>24</v>
      </c>
    </row>
    <row r="107" spans="1:11">
      <c r="A107" s="1" t="str">
        <f t="shared" si="5"/>
        <v/>
      </c>
      <c r="B107" s="1" t="str">
        <f t="shared" si="6"/>
        <v/>
      </c>
      <c r="C107" s="1" t="str">
        <f t="shared" si="7"/>
        <v/>
      </c>
      <c r="D107" s="1" t="str">
        <f t="shared" si="8"/>
        <v/>
      </c>
      <c r="G107" s="1" t="s">
        <v>410</v>
      </c>
      <c r="H107" s="1">
        <v>62.47</v>
      </c>
      <c r="I107" s="1" t="s">
        <v>32</v>
      </c>
      <c r="J107" s="13">
        <f t="shared" si="4"/>
        <v>62.47</v>
      </c>
      <c r="K107" s="1" t="s">
        <v>89</v>
      </c>
    </row>
    <row r="108" spans="1:11">
      <c r="A108" s="1" t="str">
        <f t="shared" si="5"/>
        <v/>
      </c>
      <c r="B108" s="1" t="str">
        <f t="shared" si="6"/>
        <v/>
      </c>
      <c r="C108" s="1" t="str">
        <f t="shared" si="7"/>
        <v/>
      </c>
      <c r="D108" s="1" t="str">
        <f t="shared" si="8"/>
        <v/>
      </c>
      <c r="G108" s="1" t="s">
        <v>411</v>
      </c>
      <c r="H108" s="1">
        <v>1.9</v>
      </c>
      <c r="I108" s="1" t="s">
        <v>32</v>
      </c>
      <c r="J108" s="13">
        <f t="shared" si="4"/>
        <v>1.9</v>
      </c>
      <c r="K108" s="1" t="s">
        <v>24</v>
      </c>
    </row>
    <row r="109" spans="1:11">
      <c r="A109" s="1" t="str">
        <f t="shared" si="5"/>
        <v/>
      </c>
      <c r="B109" s="1" t="str">
        <f t="shared" si="6"/>
        <v/>
      </c>
      <c r="C109" s="1" t="str">
        <f t="shared" si="7"/>
        <v/>
      </c>
      <c r="D109" s="1" t="str">
        <f t="shared" si="8"/>
        <v/>
      </c>
      <c r="G109" s="1" t="s">
        <v>411</v>
      </c>
      <c r="H109" s="1">
        <v>2.7</v>
      </c>
      <c r="I109" s="1" t="s">
        <v>32</v>
      </c>
      <c r="J109" s="13">
        <f t="shared" si="4"/>
        <v>2.7</v>
      </c>
      <c r="K109" s="1" t="s">
        <v>24</v>
      </c>
    </row>
    <row r="110" spans="1:11">
      <c r="A110" s="1" t="str">
        <f t="shared" si="5"/>
        <v/>
      </c>
      <c r="B110" s="1" t="str">
        <f t="shared" si="6"/>
        <v/>
      </c>
      <c r="C110" s="1" t="str">
        <f t="shared" si="7"/>
        <v/>
      </c>
      <c r="D110" s="1" t="str">
        <f t="shared" si="8"/>
        <v/>
      </c>
      <c r="G110" s="1" t="s">
        <v>412</v>
      </c>
      <c r="H110" s="1">
        <v>31.2</v>
      </c>
      <c r="I110" s="1" t="s">
        <v>32</v>
      </c>
      <c r="J110" s="13">
        <f t="shared" si="4"/>
        <v>31.2</v>
      </c>
      <c r="K110" s="1" t="s">
        <v>24</v>
      </c>
    </row>
    <row r="111" spans="1:11">
      <c r="A111" s="1" t="str">
        <f t="shared" si="5"/>
        <v/>
      </c>
      <c r="B111" s="1" t="str">
        <f t="shared" si="6"/>
        <v/>
      </c>
      <c r="C111" s="1" t="str">
        <f t="shared" si="7"/>
        <v/>
      </c>
      <c r="D111" s="1" t="str">
        <f t="shared" si="8"/>
        <v/>
      </c>
      <c r="G111" s="1" t="s">
        <v>413</v>
      </c>
      <c r="H111" s="1">
        <v>93.15</v>
      </c>
      <c r="I111" s="1" t="s">
        <v>32</v>
      </c>
      <c r="J111" s="13">
        <f t="shared" si="4"/>
        <v>93.15</v>
      </c>
      <c r="K111" s="1" t="s">
        <v>24</v>
      </c>
    </row>
    <row r="112" spans="1:11">
      <c r="A112" s="1" t="str">
        <f t="shared" si="5"/>
        <v/>
      </c>
      <c r="B112" s="1" t="str">
        <f t="shared" si="6"/>
        <v/>
      </c>
      <c r="C112" s="1" t="str">
        <f t="shared" si="7"/>
        <v/>
      </c>
      <c r="D112" s="1" t="str">
        <f t="shared" si="8"/>
        <v/>
      </c>
      <c r="G112" s="1" t="s">
        <v>115</v>
      </c>
      <c r="H112" s="1">
        <v>13</v>
      </c>
      <c r="I112" s="1" t="s">
        <v>32</v>
      </c>
      <c r="J112" s="13">
        <f t="shared" si="4"/>
        <v>13</v>
      </c>
      <c r="K112" s="1" t="s">
        <v>98</v>
      </c>
    </row>
    <row r="113" spans="1:11">
      <c r="A113" s="1" t="str">
        <f t="shared" si="5"/>
        <v/>
      </c>
      <c r="B113" s="1" t="str">
        <f t="shared" si="6"/>
        <v/>
      </c>
      <c r="C113" s="1" t="str">
        <f t="shared" si="7"/>
        <v/>
      </c>
      <c r="D113" s="1" t="str">
        <f t="shared" si="8"/>
        <v/>
      </c>
      <c r="G113" s="1" t="s">
        <v>87</v>
      </c>
      <c r="H113" s="1">
        <v>4.99</v>
      </c>
      <c r="I113" s="1" t="s">
        <v>32</v>
      </c>
      <c r="J113" s="13">
        <f t="shared" si="4"/>
        <v>4.99</v>
      </c>
      <c r="K113" s="1" t="s">
        <v>24</v>
      </c>
    </row>
    <row r="114" spans="1:11">
      <c r="A114" s="1" t="str">
        <f t="shared" si="5"/>
        <v/>
      </c>
      <c r="B114" s="1" t="str">
        <f t="shared" si="6"/>
        <v/>
      </c>
      <c r="C114" s="1" t="str">
        <f t="shared" si="7"/>
        <v/>
      </c>
      <c r="D114" s="1" t="str">
        <f t="shared" si="8"/>
        <v/>
      </c>
      <c r="G114" s="1" t="s">
        <v>112</v>
      </c>
      <c r="H114" s="1">
        <v>34.799999999999997</v>
      </c>
      <c r="I114" s="1" t="s">
        <v>32</v>
      </c>
      <c r="J114" s="13">
        <f t="shared" si="4"/>
        <v>34.799999999999997</v>
      </c>
      <c r="K114" s="1" t="s">
        <v>89</v>
      </c>
    </row>
    <row r="115" spans="1:11">
      <c r="A115" s="1" t="str">
        <f t="shared" si="5"/>
        <v/>
      </c>
      <c r="B115" s="1" t="str">
        <f t="shared" si="6"/>
        <v/>
      </c>
      <c r="C115" s="1" t="str">
        <f t="shared" si="7"/>
        <v/>
      </c>
      <c r="D115" s="1" t="str">
        <f t="shared" si="8"/>
        <v/>
      </c>
      <c r="G115" s="1" t="s">
        <v>414</v>
      </c>
      <c r="H115" s="1">
        <v>100</v>
      </c>
      <c r="I115" s="1" t="s">
        <v>32</v>
      </c>
      <c r="J115" s="13">
        <f t="shared" si="4"/>
        <v>100</v>
      </c>
      <c r="K115" s="1" t="s">
        <v>59</v>
      </c>
    </row>
    <row r="116" spans="1:11">
      <c r="A116" s="1" t="str">
        <f t="shared" si="5"/>
        <v/>
      </c>
      <c r="B116" s="1" t="str">
        <f t="shared" si="6"/>
        <v/>
      </c>
      <c r="C116" s="1" t="str">
        <f t="shared" si="7"/>
        <v/>
      </c>
      <c r="D116" s="1" t="str">
        <f t="shared" si="8"/>
        <v/>
      </c>
      <c r="G116" s="1" t="s">
        <v>415</v>
      </c>
      <c r="H116" s="1">
        <v>122.3</v>
      </c>
      <c r="I116" s="1" t="s">
        <v>32</v>
      </c>
      <c r="J116" s="13">
        <f t="shared" si="4"/>
        <v>122.3</v>
      </c>
      <c r="K116" s="1" t="s">
        <v>98</v>
      </c>
    </row>
    <row r="117" spans="1:11">
      <c r="A117" s="1" t="str">
        <f t="shared" si="5"/>
        <v/>
      </c>
      <c r="B117" s="1" t="str">
        <f t="shared" si="6"/>
        <v/>
      </c>
      <c r="C117" s="1" t="str">
        <f t="shared" si="7"/>
        <v/>
      </c>
      <c r="D117" s="1" t="str">
        <f t="shared" si="8"/>
        <v/>
      </c>
      <c r="G117" s="1" t="s">
        <v>416</v>
      </c>
      <c r="H117" s="1">
        <v>45</v>
      </c>
      <c r="I117" s="1" t="s">
        <v>32</v>
      </c>
      <c r="J117" s="13">
        <f t="shared" si="4"/>
        <v>45</v>
      </c>
      <c r="K117" s="1" t="s">
        <v>83</v>
      </c>
    </row>
    <row r="118" spans="1:11">
      <c r="A118" s="1" t="str">
        <f t="shared" si="5"/>
        <v/>
      </c>
      <c r="B118" s="1" t="str">
        <f t="shared" si="6"/>
        <v/>
      </c>
      <c r="C118" s="1" t="str">
        <f t="shared" si="7"/>
        <v/>
      </c>
      <c r="D118" s="1" t="str">
        <f t="shared" si="8"/>
        <v/>
      </c>
      <c r="G118" s="1" t="s">
        <v>417</v>
      </c>
      <c r="H118" s="1">
        <v>5.0999999999999996</v>
      </c>
      <c r="I118" s="1" t="s">
        <v>32</v>
      </c>
      <c r="J118" s="13">
        <f t="shared" si="4"/>
        <v>5.0999999999999996</v>
      </c>
      <c r="K118" s="1" t="s">
        <v>55</v>
      </c>
    </row>
    <row r="119" spans="1:11">
      <c r="A119" s="1" t="str">
        <f t="shared" si="5"/>
        <v/>
      </c>
      <c r="B119" s="1" t="str">
        <f t="shared" si="6"/>
        <v/>
      </c>
      <c r="C119" s="1" t="str">
        <f t="shared" si="7"/>
        <v/>
      </c>
      <c r="D119" s="1" t="str">
        <f t="shared" si="8"/>
        <v/>
      </c>
      <c r="G119" s="1" t="s">
        <v>417</v>
      </c>
      <c r="H119" s="1">
        <v>10.199999999999999</v>
      </c>
      <c r="I119" s="1" t="s">
        <v>32</v>
      </c>
      <c r="J119" s="13">
        <f t="shared" si="4"/>
        <v>10.199999999999999</v>
      </c>
      <c r="K119" s="1" t="s">
        <v>55</v>
      </c>
    </row>
    <row r="120" spans="1:11">
      <c r="A120" s="1" t="str">
        <f t="shared" si="5"/>
        <v/>
      </c>
      <c r="B120" s="1" t="str">
        <f t="shared" si="6"/>
        <v/>
      </c>
      <c r="C120" s="1" t="str">
        <f t="shared" si="7"/>
        <v/>
      </c>
      <c r="D120" s="1" t="str">
        <f t="shared" si="8"/>
        <v/>
      </c>
      <c r="G120" s="1" t="s">
        <v>418</v>
      </c>
      <c r="H120" s="1">
        <v>14.5</v>
      </c>
      <c r="I120" s="1" t="s">
        <v>32</v>
      </c>
      <c r="J120" s="13">
        <f t="shared" si="4"/>
        <v>14.5</v>
      </c>
      <c r="K120" s="1" t="s">
        <v>24</v>
      </c>
    </row>
    <row r="121" spans="1:11">
      <c r="A121" s="1" t="str">
        <f t="shared" si="5"/>
        <v/>
      </c>
      <c r="B121" s="1" t="str">
        <f t="shared" si="6"/>
        <v/>
      </c>
      <c r="C121" s="1" t="str">
        <f t="shared" si="7"/>
        <v/>
      </c>
      <c r="D121" s="1" t="str">
        <f t="shared" si="8"/>
        <v/>
      </c>
      <c r="G121" s="1" t="s">
        <v>419</v>
      </c>
      <c r="H121" s="1">
        <v>20</v>
      </c>
      <c r="I121" s="1" t="s">
        <v>32</v>
      </c>
      <c r="J121" s="13">
        <f t="shared" si="4"/>
        <v>20</v>
      </c>
      <c r="K121" s="1" t="s">
        <v>98</v>
      </c>
    </row>
    <row r="122" spans="1:11">
      <c r="A122" s="1" t="str">
        <f t="shared" si="5"/>
        <v/>
      </c>
      <c r="B122" s="1" t="str">
        <f t="shared" si="6"/>
        <v/>
      </c>
      <c r="C122" s="1" t="str">
        <f t="shared" si="7"/>
        <v/>
      </c>
      <c r="D122" s="1" t="str">
        <f t="shared" si="8"/>
        <v/>
      </c>
      <c r="G122" s="1" t="s">
        <v>419</v>
      </c>
      <c r="H122" s="1">
        <v>20</v>
      </c>
      <c r="I122" s="1" t="s">
        <v>32</v>
      </c>
      <c r="J122" s="13">
        <f t="shared" si="4"/>
        <v>20</v>
      </c>
      <c r="K122" s="1" t="s">
        <v>98</v>
      </c>
    </row>
    <row r="123" spans="1:11">
      <c r="A123" s="1" t="str">
        <f t="shared" si="5"/>
        <v/>
      </c>
      <c r="B123" s="1" t="str">
        <f t="shared" si="6"/>
        <v/>
      </c>
      <c r="C123" s="1" t="str">
        <f t="shared" si="7"/>
        <v/>
      </c>
      <c r="D123" s="1" t="str">
        <f t="shared" si="8"/>
        <v/>
      </c>
      <c r="G123" s="1" t="s">
        <v>420</v>
      </c>
      <c r="H123" s="1">
        <v>16.5</v>
      </c>
      <c r="I123" s="1" t="s">
        <v>32</v>
      </c>
      <c r="J123" s="13">
        <f t="shared" si="4"/>
        <v>16.5</v>
      </c>
      <c r="K123" s="1" t="s">
        <v>98</v>
      </c>
    </row>
    <row r="124" spans="1:11">
      <c r="A124" s="1" t="str">
        <f t="shared" si="5"/>
        <v/>
      </c>
      <c r="B124" s="1" t="str">
        <f t="shared" si="6"/>
        <v/>
      </c>
      <c r="C124" s="1" t="str">
        <f t="shared" si="7"/>
        <v/>
      </c>
      <c r="D124" s="1" t="str">
        <f t="shared" si="8"/>
        <v/>
      </c>
      <c r="G124" s="1" t="s">
        <v>421</v>
      </c>
      <c r="H124" s="1">
        <v>19</v>
      </c>
      <c r="I124" s="1" t="s">
        <v>32</v>
      </c>
      <c r="J124" s="13">
        <f t="shared" si="4"/>
        <v>19</v>
      </c>
      <c r="K124" s="1" t="s">
        <v>198</v>
      </c>
    </row>
    <row r="125" spans="1:11">
      <c r="A125" s="1" t="str">
        <f t="shared" si="5"/>
        <v/>
      </c>
      <c r="B125" s="1" t="str">
        <f t="shared" si="6"/>
        <v/>
      </c>
      <c r="C125" s="1" t="str">
        <f t="shared" si="7"/>
        <v/>
      </c>
      <c r="D125" s="1" t="str">
        <f t="shared" si="8"/>
        <v/>
      </c>
      <c r="G125" s="1" t="s">
        <v>422</v>
      </c>
      <c r="H125" s="1">
        <v>43.46</v>
      </c>
      <c r="I125" s="1" t="s">
        <v>32</v>
      </c>
      <c r="J125" s="13">
        <f t="shared" si="4"/>
        <v>43.46</v>
      </c>
      <c r="K125" s="1" t="s">
        <v>198</v>
      </c>
    </row>
    <row r="126" spans="1:11">
      <c r="A126" s="1" t="str">
        <f t="shared" si="5"/>
        <v/>
      </c>
      <c r="B126" s="1" t="str">
        <f t="shared" si="6"/>
        <v/>
      </c>
      <c r="C126" s="1" t="str">
        <f t="shared" si="7"/>
        <v/>
      </c>
      <c r="D126" s="1" t="str">
        <f t="shared" si="8"/>
        <v/>
      </c>
      <c r="G126" s="1" t="s">
        <v>423</v>
      </c>
      <c r="H126" s="1">
        <v>8.4</v>
      </c>
      <c r="I126" s="1" t="s">
        <v>32</v>
      </c>
      <c r="J126" s="13">
        <f t="shared" si="4"/>
        <v>8.4</v>
      </c>
      <c r="K126" s="1" t="s">
        <v>59</v>
      </c>
    </row>
    <row r="127" spans="1:11">
      <c r="A127" s="1" t="str">
        <f t="shared" si="5"/>
        <v/>
      </c>
      <c r="B127" s="1" t="str">
        <f t="shared" si="6"/>
        <v/>
      </c>
      <c r="C127" s="1" t="str">
        <f t="shared" si="7"/>
        <v/>
      </c>
      <c r="D127" s="1" t="str">
        <f t="shared" si="8"/>
        <v/>
      </c>
      <c r="G127" s="1" t="s">
        <v>424</v>
      </c>
      <c r="H127" s="1">
        <v>17.399999999999999</v>
      </c>
      <c r="I127" s="1" t="s">
        <v>32</v>
      </c>
      <c r="J127" s="13">
        <f t="shared" si="4"/>
        <v>17.399999999999999</v>
      </c>
      <c r="K127" s="1" t="s">
        <v>24</v>
      </c>
    </row>
    <row r="128" spans="1:11">
      <c r="A128" s="1" t="str">
        <f t="shared" si="5"/>
        <v/>
      </c>
      <c r="B128" s="1" t="str">
        <f t="shared" si="6"/>
        <v/>
      </c>
      <c r="C128" s="1" t="str">
        <f t="shared" si="7"/>
        <v/>
      </c>
      <c r="D128" s="1" t="str">
        <f t="shared" si="8"/>
        <v/>
      </c>
      <c r="G128" s="1" t="s">
        <v>425</v>
      </c>
      <c r="H128" s="1">
        <v>29.5</v>
      </c>
      <c r="I128" s="1" t="s">
        <v>32</v>
      </c>
      <c r="J128" s="13">
        <f t="shared" si="4"/>
        <v>29.5</v>
      </c>
      <c r="K128" s="1" t="s">
        <v>24</v>
      </c>
    </row>
    <row r="129" spans="1:11">
      <c r="A129" s="1" t="str">
        <f t="shared" si="5"/>
        <v/>
      </c>
      <c r="B129" s="1" t="str">
        <f t="shared" si="6"/>
        <v/>
      </c>
      <c r="C129" s="1" t="str">
        <f t="shared" si="7"/>
        <v/>
      </c>
      <c r="D129" s="1" t="str">
        <f t="shared" si="8"/>
        <v/>
      </c>
      <c r="G129" s="1" t="s">
        <v>426</v>
      </c>
      <c r="H129" s="1">
        <v>42.9</v>
      </c>
      <c r="I129" s="1" t="s">
        <v>32</v>
      </c>
      <c r="J129" s="13">
        <f t="shared" si="4"/>
        <v>42.9</v>
      </c>
      <c r="K129" s="1" t="s">
        <v>59</v>
      </c>
    </row>
    <row r="130" spans="1:11">
      <c r="A130" s="1" t="str">
        <f t="shared" si="5"/>
        <v/>
      </c>
      <c r="B130" s="1" t="str">
        <f t="shared" si="6"/>
        <v/>
      </c>
      <c r="C130" s="1" t="str">
        <f t="shared" si="7"/>
        <v/>
      </c>
      <c r="D130" s="1" t="str">
        <f t="shared" si="8"/>
        <v/>
      </c>
      <c r="G130" s="1" t="s">
        <v>330</v>
      </c>
      <c r="H130" s="1">
        <v>85</v>
      </c>
      <c r="I130" s="1" t="s">
        <v>32</v>
      </c>
      <c r="J130" s="13">
        <f t="shared" si="4"/>
        <v>85</v>
      </c>
      <c r="K130" s="1" t="s">
        <v>44</v>
      </c>
    </row>
    <row r="131" spans="1:11">
      <c r="A131" s="1" t="str">
        <f t="shared" si="5"/>
        <v/>
      </c>
      <c r="B131" s="1" t="str">
        <f t="shared" si="6"/>
        <v/>
      </c>
      <c r="C131" s="1" t="str">
        <f t="shared" si="7"/>
        <v/>
      </c>
      <c r="D131" s="1" t="str">
        <f t="shared" si="8"/>
        <v/>
      </c>
      <c r="G131" s="1" t="s">
        <v>427</v>
      </c>
      <c r="H131" s="1">
        <v>8.5</v>
      </c>
      <c r="I131" s="1" t="s">
        <v>32</v>
      </c>
      <c r="J131" s="13">
        <f t="shared" si="4"/>
        <v>8.5</v>
      </c>
      <c r="K131" s="1" t="s">
        <v>98</v>
      </c>
    </row>
    <row r="132" spans="1:11">
      <c r="A132" s="1" t="str">
        <f t="shared" si="5"/>
        <v/>
      </c>
      <c r="B132" s="1" t="str">
        <f t="shared" si="6"/>
        <v/>
      </c>
      <c r="C132" s="1" t="str">
        <f t="shared" si="7"/>
        <v/>
      </c>
      <c r="D132" s="1" t="str">
        <f t="shared" si="8"/>
        <v/>
      </c>
      <c r="G132" s="1" t="s">
        <v>123</v>
      </c>
      <c r="H132" s="1">
        <v>82</v>
      </c>
      <c r="I132" s="1" t="s">
        <v>32</v>
      </c>
      <c r="J132" s="13">
        <f t="shared" si="4"/>
        <v>82</v>
      </c>
      <c r="K132" s="1" t="s">
        <v>98</v>
      </c>
    </row>
    <row r="133" spans="1:11">
      <c r="A133" s="1" t="str">
        <f t="shared" si="5"/>
        <v/>
      </c>
      <c r="B133" s="1" t="str">
        <f t="shared" si="6"/>
        <v/>
      </c>
      <c r="C133" s="1" t="str">
        <f t="shared" si="7"/>
        <v/>
      </c>
      <c r="D133" s="1" t="str">
        <f t="shared" si="8"/>
        <v/>
      </c>
      <c r="G133" s="1" t="s">
        <v>428</v>
      </c>
      <c r="H133" s="1">
        <v>150.5</v>
      </c>
      <c r="I133" s="1" t="s">
        <v>32</v>
      </c>
      <c r="J133" s="13">
        <f t="shared" si="4"/>
        <v>150.5</v>
      </c>
      <c r="K133" s="1" t="s">
        <v>59</v>
      </c>
    </row>
    <row r="134" spans="1:11">
      <c r="A134" s="1" t="str">
        <f t="shared" si="5"/>
        <v>Reste prévu</v>
      </c>
      <c r="B134" s="1" t="e">
        <f t="shared" si="6"/>
        <v>#REF!</v>
      </c>
      <c r="C134" s="1" t="str">
        <f t="shared" si="7"/>
        <v>Reste réel</v>
      </c>
      <c r="D134" s="1" t="e">
        <f t="shared" si="8"/>
        <v>#REF!</v>
      </c>
      <c r="J134" s="13">
        <f t="shared" si="4"/>
        <v>0</v>
      </c>
      <c r="K134" s="1" t="s">
        <v>29</v>
      </c>
    </row>
    <row r="135" spans="1:11">
      <c r="A135" s="1" t="str">
        <f t="shared" si="5"/>
        <v/>
      </c>
      <c r="B135" s="1" t="str">
        <f t="shared" si="6"/>
        <v/>
      </c>
      <c r="C135" s="1" t="str">
        <f t="shared" si="7"/>
        <v/>
      </c>
      <c r="D135" s="1" t="str">
        <f t="shared" si="8"/>
        <v/>
      </c>
      <c r="J135" s="13">
        <f t="shared" si="4"/>
        <v>0</v>
      </c>
      <c r="K135" s="1" t="s">
        <v>24</v>
      </c>
    </row>
    <row r="136" spans="1:11">
      <c r="A136" s="1" t="str">
        <f t="shared" si="5"/>
        <v/>
      </c>
      <c r="B136" s="1" t="str">
        <f t="shared" si="6"/>
        <v/>
      </c>
      <c r="C136" s="1" t="str">
        <f t="shared" si="7"/>
        <v/>
      </c>
      <c r="D136" s="1" t="str">
        <f t="shared" si="8"/>
        <v/>
      </c>
      <c r="J136" s="13">
        <f t="shared" si="4"/>
        <v>0</v>
      </c>
      <c r="K136" s="1" t="s">
        <v>55</v>
      </c>
    </row>
    <row r="137" spans="1:11">
      <c r="A137" s="1" t="str">
        <f t="shared" si="5"/>
        <v/>
      </c>
      <c r="B137" s="1" t="str">
        <f t="shared" si="6"/>
        <v/>
      </c>
      <c r="C137" s="1" t="str">
        <f t="shared" si="7"/>
        <v/>
      </c>
      <c r="D137" s="1" t="str">
        <f t="shared" si="8"/>
        <v/>
      </c>
      <c r="J137" s="13">
        <f t="shared" si="4"/>
        <v>0</v>
      </c>
      <c r="K137" s="1" t="s">
        <v>24</v>
      </c>
    </row>
    <row r="138" spans="1:11">
      <c r="A138" s="1" t="str">
        <f t="shared" si="5"/>
        <v/>
      </c>
      <c r="B138" s="1" t="str">
        <f t="shared" si="6"/>
        <v/>
      </c>
      <c r="C138" s="1" t="str">
        <f t="shared" si="7"/>
        <v/>
      </c>
      <c r="D138" s="1" t="str">
        <f t="shared" si="8"/>
        <v/>
      </c>
      <c r="J138" s="13">
        <f t="shared" si="4"/>
        <v>0</v>
      </c>
      <c r="K138" s="1" t="s">
        <v>24</v>
      </c>
    </row>
    <row r="139" spans="1:11">
      <c r="A139" s="1" t="str">
        <f t="shared" si="5"/>
        <v/>
      </c>
      <c r="B139" s="1" t="str">
        <f t="shared" si="6"/>
        <v/>
      </c>
      <c r="C139" s="1" t="str">
        <f t="shared" si="7"/>
        <v/>
      </c>
      <c r="D139" s="1" t="str">
        <f t="shared" si="8"/>
        <v/>
      </c>
      <c r="J139" s="13">
        <f t="shared" si="4"/>
        <v>0</v>
      </c>
      <c r="K139" s="1" t="s">
        <v>59</v>
      </c>
    </row>
    <row r="140" spans="1:11">
      <c r="A140" s="1" t="str">
        <f t="shared" si="5"/>
        <v/>
      </c>
      <c r="B140" s="1" t="str">
        <f t="shared" si="6"/>
        <v/>
      </c>
      <c r="C140" s="1" t="str">
        <f t="shared" si="7"/>
        <v/>
      </c>
      <c r="D140" s="1" t="str">
        <f t="shared" si="8"/>
        <v/>
      </c>
      <c r="J140" s="13">
        <f t="shared" si="4"/>
        <v>0</v>
      </c>
      <c r="K140" s="1" t="s">
        <v>24</v>
      </c>
    </row>
    <row r="141" spans="1:11">
      <c r="A141" s="1" t="str">
        <f t="shared" si="5"/>
        <v/>
      </c>
      <c r="B141" s="1" t="str">
        <f t="shared" si="6"/>
        <v/>
      </c>
      <c r="C141" s="1" t="str">
        <f t="shared" si="7"/>
        <v/>
      </c>
      <c r="D141" s="1" t="str">
        <f t="shared" si="8"/>
        <v/>
      </c>
      <c r="J141" s="13">
        <f t="shared" si="4"/>
        <v>0</v>
      </c>
      <c r="K141" s="1" t="s">
        <v>29</v>
      </c>
    </row>
    <row r="142" spans="1:11">
      <c r="A142" s="1" t="str">
        <f t="shared" si="5"/>
        <v/>
      </c>
      <c r="B142" s="1" t="str">
        <f t="shared" si="6"/>
        <v/>
      </c>
      <c r="C142" s="1" t="str">
        <f t="shared" si="7"/>
        <v/>
      </c>
      <c r="D142" s="1" t="str">
        <f t="shared" si="8"/>
        <v/>
      </c>
      <c r="J142" s="13">
        <f t="shared" si="4"/>
        <v>0</v>
      </c>
      <c r="K142" s="1" t="s">
        <v>29</v>
      </c>
    </row>
    <row r="143" spans="1:11">
      <c r="A143" s="1" t="str">
        <f t="shared" si="5"/>
        <v/>
      </c>
      <c r="B143" s="1" t="str">
        <f t="shared" si="6"/>
        <v/>
      </c>
      <c r="C143" s="1" t="str">
        <f t="shared" si="7"/>
        <v/>
      </c>
      <c r="D143" s="1" t="str">
        <f t="shared" si="8"/>
        <v/>
      </c>
      <c r="J143" s="13">
        <f t="shared" si="4"/>
        <v>0</v>
      </c>
      <c r="K143" s="1" t="s">
        <v>29</v>
      </c>
    </row>
    <row r="144" spans="1:11">
      <c r="A144" s="1" t="str">
        <f t="shared" si="5"/>
        <v/>
      </c>
      <c r="B144" s="1" t="str">
        <f t="shared" si="6"/>
        <v/>
      </c>
      <c r="C144" s="1" t="str">
        <f t="shared" si="7"/>
        <v/>
      </c>
      <c r="D144" s="1" t="str">
        <f t="shared" si="8"/>
        <v/>
      </c>
      <c r="J144" s="13">
        <f t="shared" si="4"/>
        <v>0</v>
      </c>
      <c r="K144" s="1" t="s">
        <v>29</v>
      </c>
    </row>
    <row r="145" spans="1:11">
      <c r="A145" s="1" t="str">
        <f t="shared" si="5"/>
        <v/>
      </c>
      <c r="B145" s="1" t="str">
        <f t="shared" si="6"/>
        <v/>
      </c>
      <c r="C145" s="1" t="str">
        <f t="shared" si="7"/>
        <v/>
      </c>
      <c r="D145" s="1" t="str">
        <f t="shared" si="8"/>
        <v/>
      </c>
      <c r="J145" s="13">
        <f t="shared" si="4"/>
        <v>0</v>
      </c>
      <c r="K145" s="1" t="s">
        <v>24</v>
      </c>
    </row>
    <row r="146" spans="1:11">
      <c r="A146" s="1" t="str">
        <f t="shared" si="5"/>
        <v/>
      </c>
      <c r="B146" s="1" t="str">
        <f t="shared" si="6"/>
        <v/>
      </c>
      <c r="C146" s="1" t="str">
        <f t="shared" si="7"/>
        <v/>
      </c>
      <c r="D146" s="1" t="str">
        <f t="shared" si="8"/>
        <v/>
      </c>
      <c r="J146" s="13">
        <f t="shared" si="4"/>
        <v>0</v>
      </c>
      <c r="K146" s="1" t="s">
        <v>29</v>
      </c>
    </row>
    <row r="147" spans="1:11">
      <c r="A147" s="1" t="str">
        <f t="shared" si="5"/>
        <v/>
      </c>
      <c r="B147" s="1" t="str">
        <f t="shared" si="6"/>
        <v/>
      </c>
      <c r="C147" s="1" t="str">
        <f t="shared" si="7"/>
        <v/>
      </c>
      <c r="D147" s="1" t="str">
        <f t="shared" si="8"/>
        <v/>
      </c>
      <c r="J147" s="13">
        <f t="shared" si="4"/>
        <v>0</v>
      </c>
      <c r="K147" s="1"/>
    </row>
    <row r="148" spans="1:11">
      <c r="A148" s="1" t="str">
        <f t="shared" si="5"/>
        <v/>
      </c>
      <c r="B148" s="1" t="str">
        <f t="shared" si="6"/>
        <v/>
      </c>
      <c r="C148" s="1" t="str">
        <f t="shared" si="7"/>
        <v/>
      </c>
      <c r="D148" s="1" t="str">
        <f t="shared" si="8"/>
        <v/>
      </c>
      <c r="J148" s="13">
        <f t="shared" si="4"/>
        <v>0</v>
      </c>
      <c r="K148" s="1"/>
    </row>
    <row r="149" spans="1:11">
      <c r="A149" s="1" t="str">
        <f t="shared" si="5"/>
        <v/>
      </c>
      <c r="B149" s="1" t="str">
        <f t="shared" si="6"/>
        <v/>
      </c>
      <c r="C149" s="1" t="str">
        <f t="shared" si="7"/>
        <v/>
      </c>
      <c r="D149" s="1" t="str">
        <f t="shared" si="8"/>
        <v/>
      </c>
      <c r="J149" s="13">
        <f t="shared" si="4"/>
        <v>0</v>
      </c>
      <c r="K149" s="1"/>
    </row>
    <row r="150" spans="1:11">
      <c r="A150" s="1" t="str">
        <f t="shared" si="5"/>
        <v/>
      </c>
      <c r="B150" s="1" t="str">
        <f t="shared" si="6"/>
        <v/>
      </c>
      <c r="C150" s="1" t="str">
        <f t="shared" si="7"/>
        <v/>
      </c>
      <c r="D150" s="1" t="str">
        <f t="shared" si="8"/>
        <v/>
      </c>
      <c r="J150" s="13">
        <f t="shared" si="4"/>
        <v>0</v>
      </c>
      <c r="K150" s="1"/>
    </row>
    <row r="151" spans="1:11">
      <c r="A151" s="1" t="str">
        <f t="shared" si="5"/>
        <v/>
      </c>
      <c r="B151" s="1" t="str">
        <f t="shared" si="6"/>
        <v/>
      </c>
      <c r="C151" s="1" t="str">
        <f t="shared" si="7"/>
        <v/>
      </c>
      <c r="D151" s="1" t="str">
        <f t="shared" si="8"/>
        <v/>
      </c>
      <c r="J151" s="13">
        <f t="shared" si="4"/>
        <v>0</v>
      </c>
      <c r="K151" s="1"/>
    </row>
    <row r="152" spans="1:11">
      <c r="A152" s="1" t="str">
        <f t="shared" si="5"/>
        <v/>
      </c>
      <c r="B152" s="1" t="str">
        <f t="shared" si="6"/>
        <v/>
      </c>
      <c r="C152" s="1" t="str">
        <f t="shared" si="7"/>
        <v/>
      </c>
      <c r="D152" s="1" t="str">
        <f t="shared" si="8"/>
        <v/>
      </c>
      <c r="J152" s="13">
        <f t="shared" si="4"/>
        <v>0</v>
      </c>
      <c r="K152" s="1"/>
    </row>
    <row r="153" spans="1:11">
      <c r="A153" s="1" t="str">
        <f t="shared" si="5"/>
        <v/>
      </c>
      <c r="B153" s="1" t="str">
        <f t="shared" si="6"/>
        <v/>
      </c>
      <c r="C153" s="1" t="str">
        <f t="shared" si="7"/>
        <v/>
      </c>
      <c r="D153" s="1" t="str">
        <f t="shared" si="8"/>
        <v/>
      </c>
      <c r="J153" s="13">
        <f t="shared" si="4"/>
        <v>0</v>
      </c>
      <c r="K153" s="1"/>
    </row>
    <row r="154" spans="1:11">
      <c r="A154" s="1" t="str">
        <f t="shared" si="5"/>
        <v/>
      </c>
      <c r="B154" s="1" t="str">
        <f t="shared" si="6"/>
        <v/>
      </c>
      <c r="C154" s="1" t="str">
        <f t="shared" si="7"/>
        <v/>
      </c>
      <c r="D154" s="1" t="str">
        <f t="shared" si="8"/>
        <v/>
      </c>
      <c r="J154" s="13">
        <f t="shared" si="4"/>
        <v>0</v>
      </c>
      <c r="K154" s="1"/>
    </row>
    <row r="155" spans="1:11">
      <c r="A155" s="1" t="str">
        <f t="shared" si="5"/>
        <v/>
      </c>
      <c r="B155" s="1" t="str">
        <f t="shared" si="6"/>
        <v/>
      </c>
      <c r="C155" s="1" t="str">
        <f t="shared" si="7"/>
        <v/>
      </c>
      <c r="D155" s="1" t="str">
        <f t="shared" si="8"/>
        <v/>
      </c>
      <c r="J155" s="13">
        <f t="shared" si="4"/>
        <v>0</v>
      </c>
      <c r="K155" s="1"/>
    </row>
    <row r="156" spans="1:11">
      <c r="A156" s="1" t="str">
        <f t="shared" si="5"/>
        <v/>
      </c>
      <c r="B156" s="1" t="str">
        <f t="shared" si="6"/>
        <v/>
      </c>
      <c r="C156" s="1" t="str">
        <f t="shared" si="7"/>
        <v/>
      </c>
      <c r="D156" s="1" t="str">
        <f t="shared" si="8"/>
        <v/>
      </c>
      <c r="J156" s="13">
        <f t="shared" si="4"/>
        <v>0</v>
      </c>
      <c r="K156" s="1"/>
    </row>
    <row r="157" spans="1:11">
      <c r="A157" s="1" t="str">
        <f t="shared" si="5"/>
        <v/>
      </c>
      <c r="B157" s="1" t="str">
        <f t="shared" si="6"/>
        <v/>
      </c>
      <c r="C157" s="1" t="str">
        <f t="shared" si="7"/>
        <v/>
      </c>
      <c r="D157" s="1" t="str">
        <f t="shared" si="8"/>
        <v/>
      </c>
      <c r="J157" s="13">
        <f t="shared" si="4"/>
        <v>0</v>
      </c>
      <c r="K157" s="1"/>
    </row>
    <row r="158" spans="1:11">
      <c r="A158" s="1" t="str">
        <f t="shared" si="5"/>
        <v/>
      </c>
      <c r="B158" s="1" t="str">
        <f t="shared" si="6"/>
        <v/>
      </c>
      <c r="C158" s="1" t="str">
        <f t="shared" si="7"/>
        <v/>
      </c>
      <c r="D158" s="1" t="str">
        <f t="shared" si="8"/>
        <v/>
      </c>
      <c r="J158" s="13">
        <f t="shared" si="4"/>
        <v>0</v>
      </c>
      <c r="K158" s="1"/>
    </row>
    <row r="159" spans="1:11">
      <c r="A159" s="1" t="str">
        <f t="shared" si="5"/>
        <v/>
      </c>
      <c r="B159" s="1" t="str">
        <f t="shared" si="6"/>
        <v/>
      </c>
      <c r="C159" s="1" t="str">
        <f t="shared" si="7"/>
        <v/>
      </c>
      <c r="D159" s="1" t="str">
        <f t="shared" si="8"/>
        <v/>
      </c>
      <c r="J159" s="13">
        <f t="shared" si="4"/>
        <v>0</v>
      </c>
    </row>
    <row r="160" spans="1:11">
      <c r="A160" s="1" t="str">
        <f t="shared" si="5"/>
        <v/>
      </c>
      <c r="B160" s="1" t="str">
        <f t="shared" si="6"/>
        <v/>
      </c>
      <c r="C160" s="1" t="str">
        <f t="shared" si="7"/>
        <v/>
      </c>
      <c r="D160" s="1" t="str">
        <f t="shared" si="8"/>
        <v/>
      </c>
      <c r="J160" s="13">
        <f t="shared" si="4"/>
        <v>0</v>
      </c>
    </row>
    <row r="161" spans="1:11">
      <c r="A161" s="1" t="str">
        <f t="shared" si="5"/>
        <v/>
      </c>
      <c r="B161" s="1" t="str">
        <f t="shared" si="6"/>
        <v/>
      </c>
      <c r="C161" s="1" t="str">
        <f t="shared" si="7"/>
        <v/>
      </c>
      <c r="D161" s="1" t="str">
        <f t="shared" si="8"/>
        <v/>
      </c>
      <c r="J161" s="13">
        <f t="shared" si="4"/>
        <v>0</v>
      </c>
    </row>
    <row r="162" spans="1:11">
      <c r="A162" s="1" t="str">
        <f t="shared" si="5"/>
        <v/>
      </c>
      <c r="B162" s="1" t="str">
        <f t="shared" si="6"/>
        <v/>
      </c>
      <c r="C162" s="1" t="str">
        <f t="shared" si="7"/>
        <v/>
      </c>
      <c r="D162" s="1" t="str">
        <f t="shared" si="8"/>
        <v/>
      </c>
      <c r="J162" s="13">
        <f t="shared" si="4"/>
        <v>0</v>
      </c>
      <c r="K162" s="1"/>
    </row>
    <row r="163" spans="1:11">
      <c r="A163" s="1" t="str">
        <f t="shared" si="5"/>
        <v/>
      </c>
      <c r="B163" s="1" t="str">
        <f t="shared" si="6"/>
        <v/>
      </c>
      <c r="C163" s="1" t="str">
        <f t="shared" si="7"/>
        <v/>
      </c>
      <c r="D163" s="1" t="str">
        <f t="shared" si="8"/>
        <v/>
      </c>
      <c r="J163" s="13">
        <f t="shared" si="4"/>
        <v>0</v>
      </c>
      <c r="K163" s="1"/>
    </row>
    <row r="164" spans="1:11">
      <c r="A164" s="1" t="str">
        <f t="shared" si="5"/>
        <v/>
      </c>
      <c r="B164" s="1" t="str">
        <f t="shared" si="6"/>
        <v/>
      </c>
      <c r="C164" s="1" t="str">
        <f t="shared" si="7"/>
        <v/>
      </c>
      <c r="D164" s="1" t="str">
        <f t="shared" si="8"/>
        <v/>
      </c>
      <c r="J164" s="13">
        <f t="shared" si="4"/>
        <v>0</v>
      </c>
      <c r="K164" s="1"/>
    </row>
    <row r="165" spans="1:11">
      <c r="A165" s="1" t="str">
        <f t="shared" si="5"/>
        <v/>
      </c>
      <c r="B165" s="1" t="str">
        <f t="shared" si="6"/>
        <v/>
      </c>
      <c r="C165" s="1" t="str">
        <f t="shared" si="7"/>
        <v/>
      </c>
      <c r="D165" s="1" t="str">
        <f t="shared" si="8"/>
        <v/>
      </c>
      <c r="J165" s="13">
        <f t="shared" si="4"/>
        <v>0</v>
      </c>
      <c r="K165" s="1"/>
    </row>
    <row r="166" spans="1:11">
      <c r="A166" s="1" t="str">
        <f t="shared" si="5"/>
        <v/>
      </c>
      <c r="B166" s="1" t="str">
        <f t="shared" si="6"/>
        <v/>
      </c>
      <c r="C166" s="1" t="str">
        <f t="shared" si="7"/>
        <v/>
      </c>
      <c r="D166" s="1" t="str">
        <f t="shared" si="8"/>
        <v/>
      </c>
      <c r="J166" s="13">
        <f t="shared" si="4"/>
        <v>0</v>
      </c>
      <c r="K166" s="1"/>
    </row>
    <row r="167" spans="1:11">
      <c r="A167" s="1" t="str">
        <f t="shared" si="5"/>
        <v/>
      </c>
      <c r="B167" s="1" t="str">
        <f t="shared" si="6"/>
        <v/>
      </c>
      <c r="C167" s="1" t="str">
        <f t="shared" si="7"/>
        <v/>
      </c>
      <c r="D167" s="1" t="str">
        <f t="shared" si="8"/>
        <v/>
      </c>
      <c r="J167" s="13">
        <f t="shared" si="4"/>
        <v>0</v>
      </c>
      <c r="K167" s="1"/>
    </row>
    <row r="168" spans="1:11">
      <c r="A168" s="1" t="str">
        <f t="shared" si="5"/>
        <v/>
      </c>
      <c r="B168" s="1" t="str">
        <f t="shared" si="6"/>
        <v/>
      </c>
      <c r="C168" s="1" t="str">
        <f t="shared" si="7"/>
        <v/>
      </c>
      <c r="D168" s="1" t="str">
        <f t="shared" si="8"/>
        <v/>
      </c>
      <c r="J168" s="13">
        <f t="shared" si="4"/>
        <v>0</v>
      </c>
      <c r="K168" s="1"/>
    </row>
    <row r="169" spans="1:11">
      <c r="A169" s="1" t="str">
        <f t="shared" si="5"/>
        <v/>
      </c>
      <c r="B169" s="1" t="str">
        <f t="shared" si="6"/>
        <v/>
      </c>
      <c r="C169" s="1" t="str">
        <f t="shared" si="7"/>
        <v/>
      </c>
      <c r="D169" s="1" t="str">
        <f t="shared" si="8"/>
        <v/>
      </c>
      <c r="J169" s="13">
        <f t="shared" si="4"/>
        <v>0</v>
      </c>
      <c r="K169" s="1"/>
    </row>
    <row r="170" spans="1:11">
      <c r="A170" s="1" t="str">
        <f t="shared" si="5"/>
        <v/>
      </c>
      <c r="B170" s="1" t="str">
        <f t="shared" si="6"/>
        <v/>
      </c>
      <c r="C170" s="1" t="str">
        <f t="shared" si="7"/>
        <v/>
      </c>
      <c r="D170" s="1" t="str">
        <f t="shared" si="8"/>
        <v/>
      </c>
      <c r="J170" s="13">
        <f t="shared" si="4"/>
        <v>0</v>
      </c>
      <c r="K170" s="1"/>
    </row>
    <row r="171" spans="1:11">
      <c r="A171" s="1" t="str">
        <f t="shared" si="5"/>
        <v/>
      </c>
      <c r="B171" s="1" t="str">
        <f t="shared" si="6"/>
        <v/>
      </c>
      <c r="C171" s="1" t="str">
        <f t="shared" si="7"/>
        <v/>
      </c>
      <c r="D171" s="1" t="str">
        <f t="shared" si="8"/>
        <v/>
      </c>
      <c r="J171" s="13">
        <f t="shared" si="4"/>
        <v>0</v>
      </c>
      <c r="K171" s="1"/>
    </row>
    <row r="172" spans="1:11">
      <c r="A172" s="1" t="str">
        <f t="shared" si="5"/>
        <v/>
      </c>
      <c r="B172" s="1" t="str">
        <f t="shared" si="6"/>
        <v/>
      </c>
      <c r="C172" s="1" t="str">
        <f t="shared" si="7"/>
        <v/>
      </c>
      <c r="D172" s="1" t="str">
        <f t="shared" si="8"/>
        <v/>
      </c>
      <c r="J172" s="13">
        <f t="shared" si="4"/>
        <v>0</v>
      </c>
      <c r="K172" s="1"/>
    </row>
    <row r="173" spans="1:11">
      <c r="A173" s="1" t="str">
        <f t="shared" si="5"/>
        <v/>
      </c>
      <c r="B173" s="1" t="str">
        <f t="shared" si="6"/>
        <v/>
      </c>
      <c r="C173" s="1" t="str">
        <f t="shared" si="7"/>
        <v/>
      </c>
      <c r="D173" s="1" t="str">
        <f t="shared" si="8"/>
        <v/>
      </c>
      <c r="J173" s="13">
        <f t="shared" si="4"/>
        <v>0</v>
      </c>
      <c r="K173" s="1"/>
    </row>
    <row r="174" spans="1:11">
      <c r="A174" s="1" t="str">
        <f t="shared" si="5"/>
        <v/>
      </c>
      <c r="B174" s="1" t="str">
        <f t="shared" si="6"/>
        <v/>
      </c>
      <c r="C174" s="1" t="str">
        <f t="shared" si="7"/>
        <v/>
      </c>
      <c r="D174" s="1" t="str">
        <f t="shared" si="8"/>
        <v/>
      </c>
      <c r="J174" s="13">
        <f t="shared" si="4"/>
        <v>0</v>
      </c>
      <c r="K174" s="1"/>
    </row>
    <row r="175" spans="1:11">
      <c r="A175" s="1" t="str">
        <f t="shared" si="5"/>
        <v/>
      </c>
      <c r="B175" s="1" t="str">
        <f t="shared" si="6"/>
        <v/>
      </c>
      <c r="C175" s="1" t="str">
        <f t="shared" si="7"/>
        <v/>
      </c>
      <c r="D175" s="1" t="str">
        <f t="shared" si="8"/>
        <v/>
      </c>
      <c r="J175" s="13">
        <f t="shared" si="4"/>
        <v>0</v>
      </c>
      <c r="K175" s="1"/>
    </row>
    <row r="176" spans="1:11">
      <c r="A176" s="1" t="str">
        <f t="shared" si="5"/>
        <v/>
      </c>
      <c r="B176" s="1" t="str">
        <f t="shared" si="6"/>
        <v/>
      </c>
      <c r="C176" s="1" t="str">
        <f t="shared" si="7"/>
        <v/>
      </c>
      <c r="D176" s="1" t="str">
        <f t="shared" si="8"/>
        <v/>
      </c>
      <c r="J176" s="13">
        <f t="shared" si="4"/>
        <v>0</v>
      </c>
      <c r="K176" s="1"/>
    </row>
    <row r="177" spans="1:11">
      <c r="A177" s="1" t="str">
        <f t="shared" si="5"/>
        <v/>
      </c>
      <c r="B177" s="1" t="str">
        <f t="shared" si="6"/>
        <v/>
      </c>
      <c r="C177" s="1" t="str">
        <f t="shared" si="7"/>
        <v/>
      </c>
      <c r="D177" s="1" t="str">
        <f t="shared" si="8"/>
        <v/>
      </c>
      <c r="J177" s="13">
        <f t="shared" si="4"/>
        <v>0</v>
      </c>
      <c r="K177" s="1"/>
    </row>
    <row r="178" spans="1:11">
      <c r="A178" s="1" t="str">
        <f t="shared" si="5"/>
        <v/>
      </c>
      <c r="B178" s="1" t="str">
        <f t="shared" si="6"/>
        <v/>
      </c>
      <c r="C178" s="1" t="str">
        <f t="shared" si="7"/>
        <v/>
      </c>
      <c r="D178" s="1" t="str">
        <f t="shared" si="8"/>
        <v/>
      </c>
      <c r="J178" s="13">
        <f t="shared" si="4"/>
        <v>0</v>
      </c>
      <c r="K178" s="1"/>
    </row>
    <row r="179" spans="1:11">
      <c r="A179" s="1" t="str">
        <f t="shared" si="5"/>
        <v/>
      </c>
      <c r="B179" s="1" t="str">
        <f t="shared" si="6"/>
        <v/>
      </c>
      <c r="C179" s="1" t="str">
        <f t="shared" si="7"/>
        <v/>
      </c>
      <c r="D179" s="1" t="str">
        <f t="shared" si="8"/>
        <v/>
      </c>
      <c r="J179" s="13">
        <f t="shared" si="4"/>
        <v>0</v>
      </c>
      <c r="K179" s="1"/>
    </row>
    <row r="180" spans="1:11">
      <c r="A180" s="1" t="str">
        <f t="shared" si="5"/>
        <v/>
      </c>
      <c r="B180" s="1" t="str">
        <f t="shared" si="6"/>
        <v/>
      </c>
      <c r="C180" s="1" t="str">
        <f t="shared" si="7"/>
        <v/>
      </c>
      <c r="D180" s="1" t="str">
        <f t="shared" si="8"/>
        <v/>
      </c>
      <c r="J180" s="13">
        <f t="shared" si="4"/>
        <v>0</v>
      </c>
      <c r="K180" s="1"/>
    </row>
    <row r="181" spans="1:11">
      <c r="A181" s="1" t="str">
        <f t="shared" si="5"/>
        <v/>
      </c>
      <c r="B181" s="1" t="str">
        <f t="shared" si="6"/>
        <v/>
      </c>
      <c r="C181" s="1" t="str">
        <f t="shared" si="7"/>
        <v/>
      </c>
      <c r="D181" s="1" t="str">
        <f t="shared" si="8"/>
        <v/>
      </c>
      <c r="J181" s="13">
        <f t="shared" si="4"/>
        <v>0</v>
      </c>
      <c r="K181" s="1"/>
    </row>
    <row r="182" spans="1:11">
      <c r="A182" s="1" t="str">
        <f t="shared" si="5"/>
        <v/>
      </c>
      <c r="B182" s="1" t="str">
        <f t="shared" si="6"/>
        <v/>
      </c>
      <c r="C182" s="1" t="str">
        <f t="shared" si="7"/>
        <v/>
      </c>
      <c r="D182" s="1" t="str">
        <f t="shared" si="8"/>
        <v/>
      </c>
      <c r="J182" s="13">
        <f t="shared" si="4"/>
        <v>0</v>
      </c>
      <c r="K182" s="1"/>
    </row>
    <row r="183" spans="1:11">
      <c r="A183" s="1" t="str">
        <f t="shared" si="5"/>
        <v/>
      </c>
      <c r="B183" s="1" t="str">
        <f t="shared" si="6"/>
        <v/>
      </c>
      <c r="C183" s="1" t="str">
        <f t="shared" si="7"/>
        <v/>
      </c>
      <c r="D183" s="1" t="str">
        <f t="shared" si="8"/>
        <v/>
      </c>
      <c r="J183" s="13">
        <f t="shared" si="4"/>
        <v>0</v>
      </c>
      <c r="K183" s="1"/>
    </row>
    <row r="184" spans="1:11">
      <c r="A184" s="1" t="str">
        <f t="shared" si="5"/>
        <v/>
      </c>
      <c r="B184" s="1" t="str">
        <f t="shared" si="6"/>
        <v/>
      </c>
      <c r="C184" s="1" t="str">
        <f t="shared" si="7"/>
        <v/>
      </c>
      <c r="D184" s="1" t="str">
        <f t="shared" si="8"/>
        <v/>
      </c>
      <c r="J184" s="13">
        <f t="shared" si="4"/>
        <v>0</v>
      </c>
      <c r="K184" s="1"/>
    </row>
    <row r="185" spans="1:11">
      <c r="A185" s="1" t="str">
        <f t="shared" si="5"/>
        <v/>
      </c>
      <c r="B185" s="1" t="str">
        <f t="shared" si="6"/>
        <v/>
      </c>
      <c r="C185" s="1" t="str">
        <f t="shared" si="7"/>
        <v/>
      </c>
      <c r="D185" s="1" t="str">
        <f t="shared" si="8"/>
        <v/>
      </c>
      <c r="J185" s="13">
        <f t="shared" si="4"/>
        <v>0</v>
      </c>
      <c r="K185" s="1"/>
    </row>
    <row r="186" spans="1:11">
      <c r="A186" s="1" t="str">
        <f t="shared" si="5"/>
        <v/>
      </c>
      <c r="B186" s="1" t="str">
        <f t="shared" si="6"/>
        <v/>
      </c>
      <c r="C186" s="1" t="str">
        <f t="shared" si="7"/>
        <v/>
      </c>
      <c r="D186" s="1" t="str">
        <f t="shared" si="8"/>
        <v/>
      </c>
      <c r="J186" s="13">
        <f t="shared" si="4"/>
        <v>0</v>
      </c>
      <c r="K186" s="1"/>
    </row>
    <row r="187" spans="1:11">
      <c r="A187" s="1" t="str">
        <f t="shared" si="5"/>
        <v/>
      </c>
      <c r="B187" s="1" t="str">
        <f t="shared" si="6"/>
        <v/>
      </c>
      <c r="C187" s="1" t="str">
        <f t="shared" si="7"/>
        <v/>
      </c>
      <c r="D187" s="1" t="str">
        <f t="shared" si="8"/>
        <v/>
      </c>
      <c r="J187" s="13">
        <f t="shared" si="4"/>
        <v>0</v>
      </c>
      <c r="K187" s="1"/>
    </row>
    <row r="188" spans="1:11">
      <c r="A188" s="1" t="str">
        <f t="shared" si="5"/>
        <v/>
      </c>
      <c r="B188" s="1" t="str">
        <f t="shared" si="6"/>
        <v/>
      </c>
      <c r="C188" s="1" t="str">
        <f t="shared" si="7"/>
        <v/>
      </c>
      <c r="D188" s="1" t="str">
        <f t="shared" si="8"/>
        <v/>
      </c>
      <c r="J188" s="13">
        <f t="shared" si="4"/>
        <v>0</v>
      </c>
      <c r="K188" s="1"/>
    </row>
    <row r="189" spans="1:11">
      <c r="A189" s="1" t="str">
        <f t="shared" si="5"/>
        <v/>
      </c>
      <c r="B189" s="1" t="str">
        <f t="shared" si="6"/>
        <v/>
      </c>
      <c r="C189" s="1" t="str">
        <f t="shared" si="7"/>
        <v/>
      </c>
      <c r="D189" s="1" t="str">
        <f t="shared" si="8"/>
        <v/>
      </c>
      <c r="J189" s="13">
        <f t="shared" si="4"/>
        <v>0</v>
      </c>
      <c r="K189" s="1"/>
    </row>
    <row r="190" spans="1:11">
      <c r="A190" s="1" t="str">
        <f t="shared" si="5"/>
        <v/>
      </c>
      <c r="B190" s="1" t="str">
        <f t="shared" si="6"/>
        <v/>
      </c>
      <c r="C190" s="1" t="str">
        <f t="shared" si="7"/>
        <v/>
      </c>
      <c r="D190" s="1" t="str">
        <f t="shared" si="8"/>
        <v/>
      </c>
      <c r="J190" s="13">
        <f t="shared" si="4"/>
        <v>0</v>
      </c>
      <c r="K190" s="1"/>
    </row>
    <row r="191" spans="1:11">
      <c r="A191" s="1" t="str">
        <f t="shared" si="5"/>
        <v/>
      </c>
      <c r="B191" s="1" t="str">
        <f t="shared" si="6"/>
        <v/>
      </c>
      <c r="C191" s="1" t="str">
        <f t="shared" si="7"/>
        <v/>
      </c>
      <c r="D191" s="1" t="str">
        <f t="shared" si="8"/>
        <v/>
      </c>
      <c r="J191" s="13">
        <f t="shared" si="4"/>
        <v>0</v>
      </c>
      <c r="K191" s="1"/>
    </row>
    <row r="192" spans="1:11">
      <c r="A192" s="1" t="str">
        <f t="shared" si="5"/>
        <v/>
      </c>
      <c r="B192" s="1" t="str">
        <f t="shared" si="6"/>
        <v/>
      </c>
      <c r="C192" s="1" t="str">
        <f t="shared" si="7"/>
        <v/>
      </c>
      <c r="D192" s="1" t="str">
        <f t="shared" si="8"/>
        <v/>
      </c>
      <c r="J192" s="13">
        <f t="shared" si="4"/>
        <v>0</v>
      </c>
      <c r="K192" s="1"/>
    </row>
    <row r="193" spans="1:11">
      <c r="A193" s="1" t="str">
        <f t="shared" si="5"/>
        <v/>
      </c>
      <c r="B193" s="1" t="str">
        <f t="shared" si="6"/>
        <v/>
      </c>
      <c r="C193" s="1" t="str">
        <f t="shared" si="7"/>
        <v/>
      </c>
      <c r="D193" s="1" t="str">
        <f t="shared" si="8"/>
        <v/>
      </c>
      <c r="J193" s="13">
        <f t="shared" si="4"/>
        <v>0</v>
      </c>
      <c r="K193" s="1"/>
    </row>
    <row r="194" spans="1:11">
      <c r="A194" s="1" t="str">
        <f t="shared" si="5"/>
        <v/>
      </c>
      <c r="B194" s="1" t="str">
        <f t="shared" si="6"/>
        <v/>
      </c>
      <c r="C194" s="1" t="str">
        <f t="shared" si="7"/>
        <v/>
      </c>
      <c r="D194" s="1" t="str">
        <f t="shared" si="8"/>
        <v/>
      </c>
      <c r="J194" s="13">
        <f t="shared" si="4"/>
        <v>0</v>
      </c>
      <c r="K194" s="1"/>
    </row>
    <row r="195" spans="1:11">
      <c r="A195" s="1" t="str">
        <f t="shared" si="5"/>
        <v/>
      </c>
      <c r="B195" s="1" t="str">
        <f t="shared" si="6"/>
        <v/>
      </c>
      <c r="C195" s="1" t="str">
        <f t="shared" si="7"/>
        <v/>
      </c>
      <c r="D195" s="1" t="str">
        <f t="shared" si="8"/>
        <v/>
      </c>
      <c r="J195" s="13">
        <f t="shared" si="4"/>
        <v>0</v>
      </c>
      <c r="K195" s="1"/>
    </row>
    <row r="196" spans="1:11">
      <c r="A196" s="1" t="str">
        <f t="shared" si="5"/>
        <v/>
      </c>
      <c r="B196" s="1" t="str">
        <f t="shared" si="6"/>
        <v/>
      </c>
      <c r="C196" s="1" t="str">
        <f t="shared" si="7"/>
        <v/>
      </c>
      <c r="D196" s="1" t="str">
        <f t="shared" si="8"/>
        <v/>
      </c>
      <c r="J196" s="13">
        <f t="shared" si="4"/>
        <v>0</v>
      </c>
      <c r="K196" s="1"/>
    </row>
    <row r="197" spans="1:11">
      <c r="A197" s="1" t="str">
        <f t="shared" si="5"/>
        <v/>
      </c>
      <c r="B197" s="1" t="str">
        <f t="shared" si="6"/>
        <v/>
      </c>
      <c r="C197" s="1" t="str">
        <f t="shared" si="7"/>
        <v/>
      </c>
      <c r="D197" s="1" t="str">
        <f t="shared" si="8"/>
        <v/>
      </c>
      <c r="J197" s="13">
        <f t="shared" si="4"/>
        <v>0</v>
      </c>
      <c r="K197" s="1"/>
    </row>
    <row r="198" spans="1:11">
      <c r="A198" s="1" t="str">
        <f t="shared" si="5"/>
        <v/>
      </c>
      <c r="B198" s="1" t="str">
        <f t="shared" si="6"/>
        <v/>
      </c>
      <c r="C198" s="1" t="str">
        <f t="shared" si="7"/>
        <v/>
      </c>
      <c r="D198" s="1" t="str">
        <f t="shared" si="8"/>
        <v/>
      </c>
      <c r="J198" s="13">
        <f t="shared" si="4"/>
        <v>0</v>
      </c>
      <c r="K198" s="1"/>
    </row>
    <row r="199" spans="1:11">
      <c r="A199" s="1" t="str">
        <f t="shared" si="5"/>
        <v/>
      </c>
      <c r="B199" s="1" t="str">
        <f t="shared" si="6"/>
        <v/>
      </c>
      <c r="C199" s="1" t="str">
        <f t="shared" si="7"/>
        <v/>
      </c>
      <c r="D199" s="1" t="str">
        <f t="shared" si="8"/>
        <v/>
      </c>
      <c r="J199" s="13">
        <f t="shared" si="4"/>
        <v>0</v>
      </c>
      <c r="K199" s="1"/>
    </row>
    <row r="200" spans="1:11">
      <c r="A200" s="1" t="str">
        <f t="shared" si="5"/>
        <v/>
      </c>
      <c r="B200" s="1" t="str">
        <f t="shared" si="6"/>
        <v/>
      </c>
      <c r="C200" s="1" t="str">
        <f t="shared" si="7"/>
        <v/>
      </c>
      <c r="D200" s="1" t="str">
        <f t="shared" si="8"/>
        <v/>
      </c>
      <c r="J200" s="13">
        <f t="shared" si="4"/>
        <v>0</v>
      </c>
      <c r="K200" s="1"/>
    </row>
    <row r="201" spans="1:11">
      <c r="A201" s="1" t="str">
        <f t="shared" si="5"/>
        <v/>
      </c>
      <c r="B201" s="1" t="str">
        <f t="shared" si="6"/>
        <v/>
      </c>
      <c r="C201" s="1" t="str">
        <f t="shared" si="7"/>
        <v/>
      </c>
      <c r="D201" s="1" t="str">
        <f t="shared" si="8"/>
        <v/>
      </c>
      <c r="J201" s="13">
        <f t="shared" si="4"/>
        <v>0</v>
      </c>
      <c r="K201" s="1"/>
    </row>
    <row r="202" spans="1:11">
      <c r="A202" s="1" t="str">
        <f t="shared" si="5"/>
        <v/>
      </c>
      <c r="B202" s="1" t="str">
        <f t="shared" si="6"/>
        <v/>
      </c>
      <c r="C202" s="1" t="str">
        <f t="shared" si="7"/>
        <v/>
      </c>
      <c r="D202" s="1" t="str">
        <f t="shared" si="8"/>
        <v/>
      </c>
      <c r="J202" s="13">
        <f t="shared" si="4"/>
        <v>0</v>
      </c>
      <c r="K202" s="1"/>
    </row>
    <row r="203" spans="1:11">
      <c r="A203" s="1" t="str">
        <f t="shared" si="5"/>
        <v/>
      </c>
      <c r="B203" s="1" t="str">
        <f t="shared" si="6"/>
        <v/>
      </c>
      <c r="C203" s="1" t="str">
        <f t="shared" si="7"/>
        <v/>
      </c>
      <c r="D203" s="1" t="str">
        <f t="shared" si="8"/>
        <v/>
      </c>
      <c r="J203" s="13">
        <f t="shared" si="4"/>
        <v>0</v>
      </c>
      <c r="K203" s="1"/>
    </row>
    <row r="204" spans="1:11">
      <c r="A204" s="1" t="str">
        <f t="shared" si="5"/>
        <v/>
      </c>
      <c r="B204" s="1" t="str">
        <f t="shared" si="6"/>
        <v/>
      </c>
      <c r="C204" s="1" t="str">
        <f t="shared" si="7"/>
        <v/>
      </c>
      <c r="D204" s="1" t="str">
        <f t="shared" si="8"/>
        <v/>
      </c>
      <c r="J204" s="13">
        <f t="shared" si="4"/>
        <v>0</v>
      </c>
      <c r="K204" s="1"/>
    </row>
    <row r="205" spans="1:11">
      <c r="A205" s="1" t="str">
        <f t="shared" si="5"/>
        <v/>
      </c>
      <c r="B205" s="1" t="str">
        <f t="shared" si="6"/>
        <v/>
      </c>
      <c r="C205" s="1" t="str">
        <f t="shared" si="7"/>
        <v/>
      </c>
      <c r="D205" s="1" t="str">
        <f t="shared" si="8"/>
        <v/>
      </c>
      <c r="J205" s="13">
        <f t="shared" si="4"/>
        <v>0</v>
      </c>
      <c r="K205" s="1"/>
    </row>
    <row r="206" spans="1:11">
      <c r="A206" s="1" t="str">
        <f t="shared" si="5"/>
        <v/>
      </c>
      <c r="B206" s="1" t="str">
        <f t="shared" si="6"/>
        <v/>
      </c>
      <c r="C206" s="1" t="str">
        <f t="shared" si="7"/>
        <v/>
      </c>
      <c r="D206" s="1" t="str">
        <f t="shared" si="8"/>
        <v/>
      </c>
      <c r="J206" s="13">
        <f t="shared" si="4"/>
        <v>0</v>
      </c>
      <c r="K206" s="1"/>
    </row>
    <row r="207" spans="1:11">
      <c r="A207" s="1" t="str">
        <f t="shared" si="5"/>
        <v/>
      </c>
      <c r="B207" s="1" t="str">
        <f t="shared" si="6"/>
        <v/>
      </c>
      <c r="C207" s="1" t="str">
        <f t="shared" si="7"/>
        <v/>
      </c>
      <c r="D207" s="1" t="str">
        <f t="shared" si="8"/>
        <v/>
      </c>
      <c r="J207" s="13">
        <f t="shared" si="4"/>
        <v>0</v>
      </c>
      <c r="K207" s="1"/>
    </row>
    <row r="208" spans="1:11">
      <c r="A208" s="1" t="str">
        <f t="shared" si="5"/>
        <v/>
      </c>
      <c r="B208" s="1" t="str">
        <f t="shared" si="6"/>
        <v/>
      </c>
      <c r="C208" s="1" t="str">
        <f t="shared" si="7"/>
        <v/>
      </c>
      <c r="D208" s="1" t="str">
        <f t="shared" si="8"/>
        <v/>
      </c>
      <c r="J208" s="13">
        <f t="shared" si="4"/>
        <v>0</v>
      </c>
      <c r="K208" s="1"/>
    </row>
    <row r="209" spans="1:11">
      <c r="A209" s="1" t="str">
        <f t="shared" si="5"/>
        <v/>
      </c>
      <c r="B209" s="1" t="str">
        <f t="shared" si="6"/>
        <v/>
      </c>
      <c r="C209" s="1" t="str">
        <f t="shared" si="7"/>
        <v/>
      </c>
      <c r="D209" s="1" t="str">
        <f t="shared" si="8"/>
        <v/>
      </c>
      <c r="J209" s="13">
        <f t="shared" si="4"/>
        <v>0</v>
      </c>
      <c r="K209" s="1"/>
    </row>
    <row r="210" spans="1:11">
      <c r="A210" s="1" t="str">
        <f t="shared" si="5"/>
        <v/>
      </c>
      <c r="B210" s="1" t="str">
        <f t="shared" si="6"/>
        <v/>
      </c>
      <c r="C210" s="1" t="str">
        <f t="shared" si="7"/>
        <v/>
      </c>
      <c r="D210" s="1" t="str">
        <f t="shared" si="8"/>
        <v/>
      </c>
      <c r="J210" s="13">
        <f t="shared" si="4"/>
        <v>0</v>
      </c>
      <c r="K210" s="1"/>
    </row>
    <row r="211" spans="1:11">
      <c r="A211" s="1" t="str">
        <f t="shared" si="5"/>
        <v/>
      </c>
      <c r="B211" s="1" t="str">
        <f t="shared" si="6"/>
        <v/>
      </c>
      <c r="C211" s="1" t="str">
        <f t="shared" si="7"/>
        <v/>
      </c>
      <c r="D211" s="1" t="str">
        <f t="shared" si="8"/>
        <v/>
      </c>
      <c r="J211" s="13">
        <f t="shared" si="4"/>
        <v>0</v>
      </c>
      <c r="K211" s="1"/>
    </row>
    <row r="212" spans="1:11">
      <c r="A212" s="1" t="str">
        <f t="shared" si="5"/>
        <v/>
      </c>
      <c r="B212" s="1" t="str">
        <f t="shared" si="6"/>
        <v/>
      </c>
      <c r="C212" s="1" t="str">
        <f t="shared" si="7"/>
        <v/>
      </c>
      <c r="D212" s="1" t="str">
        <f t="shared" si="8"/>
        <v/>
      </c>
      <c r="J212" s="13">
        <f t="shared" si="4"/>
        <v>0</v>
      </c>
      <c r="K212" s="1"/>
    </row>
    <row r="213" spans="1:11">
      <c r="A213" s="1" t="str">
        <f t="shared" si="5"/>
        <v/>
      </c>
      <c r="B213" s="1" t="str">
        <f t="shared" si="6"/>
        <v/>
      </c>
      <c r="C213" s="1" t="str">
        <f t="shared" si="7"/>
        <v/>
      </c>
      <c r="D213" s="1" t="str">
        <f t="shared" si="8"/>
        <v/>
      </c>
      <c r="J213" s="13">
        <f t="shared" si="4"/>
        <v>0</v>
      </c>
      <c r="K213" s="1"/>
    </row>
    <row r="214" spans="1:11">
      <c r="A214" s="1" t="str">
        <f t="shared" si="5"/>
        <v/>
      </c>
      <c r="B214" s="1" t="str">
        <f t="shared" si="6"/>
        <v/>
      </c>
      <c r="C214" s="1" t="str">
        <f t="shared" si="7"/>
        <v/>
      </c>
      <c r="D214" s="1" t="str">
        <f t="shared" si="8"/>
        <v/>
      </c>
      <c r="K214" s="1"/>
    </row>
    <row r="215" spans="1:11">
      <c r="A215" s="1" t="str">
        <f t="shared" si="5"/>
        <v/>
      </c>
      <c r="B215" s="1" t="str">
        <f t="shared" si="6"/>
        <v/>
      </c>
      <c r="C215" s="1" t="str">
        <f t="shared" si="7"/>
        <v/>
      </c>
      <c r="D215" s="1" t="str">
        <f t="shared" si="8"/>
        <v/>
      </c>
      <c r="K215" s="1"/>
    </row>
    <row r="216" spans="1:11">
      <c r="A216" s="1" t="str">
        <f t="shared" si="5"/>
        <v/>
      </c>
      <c r="B216" s="1" t="str">
        <f t="shared" si="6"/>
        <v/>
      </c>
      <c r="C216" s="1" t="str">
        <f t="shared" si="7"/>
        <v/>
      </c>
      <c r="D216" s="1" t="str">
        <f t="shared" si="8"/>
        <v/>
      </c>
      <c r="K216" s="1"/>
    </row>
    <row r="217" spans="1:11">
      <c r="A217" s="1" t="str">
        <f t="shared" si="5"/>
        <v/>
      </c>
      <c r="B217" s="1" t="str">
        <f t="shared" si="6"/>
        <v/>
      </c>
      <c r="C217" s="1" t="str">
        <f t="shared" si="7"/>
        <v/>
      </c>
      <c r="D217" s="1" t="str">
        <f t="shared" si="8"/>
        <v/>
      </c>
      <c r="K217" s="1"/>
    </row>
    <row r="218" spans="1:11">
      <c r="A218" s="1" t="str">
        <f t="shared" si="5"/>
        <v/>
      </c>
      <c r="B218" s="1" t="str">
        <f t="shared" si="6"/>
        <v/>
      </c>
      <c r="C218" s="1" t="str">
        <f t="shared" si="7"/>
        <v/>
      </c>
      <c r="D218" s="1" t="str">
        <f t="shared" si="8"/>
        <v/>
      </c>
      <c r="K218" s="1"/>
    </row>
    <row r="219" spans="1:11">
      <c r="A219" s="1" t="str">
        <f t="shared" si="5"/>
        <v/>
      </c>
      <c r="B219" s="1" t="str">
        <f t="shared" si="6"/>
        <v/>
      </c>
      <c r="C219" s="1" t="str">
        <f t="shared" si="7"/>
        <v/>
      </c>
      <c r="D219" s="1" t="str">
        <f t="shared" si="8"/>
        <v/>
      </c>
      <c r="K219" s="1"/>
    </row>
    <row r="220" spans="1:11">
      <c r="A220" s="1" t="str">
        <f t="shared" si="5"/>
        <v/>
      </c>
      <c r="B220" s="1" t="str">
        <f t="shared" si="6"/>
        <v/>
      </c>
      <c r="C220" s="1" t="str">
        <f t="shared" si="7"/>
        <v/>
      </c>
      <c r="D220" s="1" t="str">
        <f t="shared" si="8"/>
        <v/>
      </c>
      <c r="K220" s="1"/>
    </row>
    <row r="221" spans="1:11">
      <c r="A221" s="1" t="str">
        <f t="shared" si="5"/>
        <v/>
      </c>
      <c r="B221" s="1" t="str">
        <f t="shared" si="6"/>
        <v/>
      </c>
      <c r="C221" s="1" t="str">
        <f t="shared" si="7"/>
        <v/>
      </c>
      <c r="D221" s="1" t="str">
        <f t="shared" si="8"/>
        <v/>
      </c>
      <c r="K221" s="1"/>
    </row>
    <row r="222" spans="1:11">
      <c r="A222" s="1" t="str">
        <f t="shared" si="5"/>
        <v/>
      </c>
      <c r="B222" s="1" t="str">
        <f t="shared" si="6"/>
        <v/>
      </c>
      <c r="C222" s="1" t="str">
        <f t="shared" si="7"/>
        <v/>
      </c>
      <c r="D222" s="1" t="str">
        <f t="shared" si="8"/>
        <v/>
      </c>
      <c r="K222" s="1"/>
    </row>
    <row r="223" spans="1:11">
      <c r="A223" s="1" t="str">
        <f t="shared" si="5"/>
        <v/>
      </c>
      <c r="B223" s="1" t="str">
        <f t="shared" si="6"/>
        <v/>
      </c>
      <c r="C223" s="1" t="str">
        <f t="shared" si="7"/>
        <v/>
      </c>
      <c r="D223" s="1" t="str">
        <f t="shared" si="8"/>
        <v/>
      </c>
      <c r="K223" s="1"/>
    </row>
    <row r="224" spans="1:11">
      <c r="A224" s="1" t="str">
        <f t="shared" si="5"/>
        <v/>
      </c>
      <c r="B224" s="1" t="str">
        <f t="shared" si="6"/>
        <v/>
      </c>
      <c r="C224" s="1" t="str">
        <f t="shared" si="7"/>
        <v/>
      </c>
      <c r="D224" s="1" t="str">
        <f t="shared" si="8"/>
        <v/>
      </c>
      <c r="K224" s="1"/>
    </row>
    <row r="225" spans="1:11">
      <c r="A225" s="1" t="str">
        <f t="shared" si="5"/>
        <v/>
      </c>
      <c r="B225" s="1" t="str">
        <f t="shared" si="6"/>
        <v/>
      </c>
      <c r="C225" s="1" t="str">
        <f t="shared" si="7"/>
        <v/>
      </c>
      <c r="D225" s="1" t="str">
        <f t="shared" si="8"/>
        <v/>
      </c>
      <c r="K225" s="1"/>
    </row>
    <row r="226" spans="1:11">
      <c r="A226" s="1" t="str">
        <f t="shared" si="5"/>
        <v/>
      </c>
      <c r="B226" s="1" t="str">
        <f t="shared" si="6"/>
        <v/>
      </c>
      <c r="C226" s="1" t="str">
        <f t="shared" si="7"/>
        <v/>
      </c>
      <c r="D226" s="1" t="str">
        <f t="shared" si="8"/>
        <v/>
      </c>
      <c r="K226" s="1"/>
    </row>
    <row r="227" spans="1:11">
      <c r="A227" s="1" t="str">
        <f t="shared" si="5"/>
        <v/>
      </c>
      <c r="B227" s="1" t="str">
        <f t="shared" si="6"/>
        <v/>
      </c>
      <c r="C227" s="1" t="str">
        <f t="shared" si="7"/>
        <v/>
      </c>
      <c r="D227" s="1" t="str">
        <f t="shared" si="8"/>
        <v/>
      </c>
      <c r="K227" s="1"/>
    </row>
    <row r="228" spans="1:11">
      <c r="A228" s="1" t="str">
        <f t="shared" si="5"/>
        <v/>
      </c>
      <c r="B228" s="1" t="str">
        <f t="shared" si="6"/>
        <v/>
      </c>
      <c r="C228" s="1" t="str">
        <f t="shared" si="7"/>
        <v/>
      </c>
      <c r="D228" s="1" t="str">
        <f t="shared" si="8"/>
        <v/>
      </c>
      <c r="K228" s="1"/>
    </row>
    <row r="229" spans="1:11">
      <c r="A229" s="1" t="str">
        <f t="shared" si="5"/>
        <v/>
      </c>
      <c r="B229" s="1" t="str">
        <f t="shared" si="6"/>
        <v/>
      </c>
      <c r="C229" s="1" t="str">
        <f t="shared" si="7"/>
        <v/>
      </c>
      <c r="D229" s="1" t="str">
        <f t="shared" si="8"/>
        <v/>
      </c>
      <c r="K229" s="1"/>
    </row>
    <row r="230" spans="1:11">
      <c r="A230" s="1" t="str">
        <f t="shared" si="5"/>
        <v/>
      </c>
      <c r="B230" s="1" t="str">
        <f t="shared" si="6"/>
        <v/>
      </c>
      <c r="C230" s="1" t="str">
        <f t="shared" si="7"/>
        <v/>
      </c>
      <c r="D230" s="1" t="str">
        <f t="shared" si="8"/>
        <v/>
      </c>
      <c r="K230" s="1"/>
    </row>
    <row r="231" spans="1:11">
      <c r="A231" s="1" t="str">
        <f t="shared" si="5"/>
        <v/>
      </c>
      <c r="B231" s="1" t="str">
        <f t="shared" si="6"/>
        <v/>
      </c>
      <c r="C231" s="1" t="str">
        <f t="shared" si="7"/>
        <v/>
      </c>
      <c r="D231" s="1" t="str">
        <f t="shared" si="8"/>
        <v/>
      </c>
      <c r="K231" s="1"/>
    </row>
    <row r="232" spans="1:11">
      <c r="A232" s="1" t="str">
        <f t="shared" si="5"/>
        <v/>
      </c>
      <c r="B232" s="1" t="str">
        <f t="shared" si="6"/>
        <v/>
      </c>
      <c r="C232" s="1" t="str">
        <f t="shared" si="7"/>
        <v/>
      </c>
      <c r="D232" s="1" t="str">
        <f t="shared" si="8"/>
        <v/>
      </c>
      <c r="K232" s="1"/>
    </row>
    <row r="233" spans="1:11">
      <c r="A233" s="1" t="str">
        <f t="shared" si="5"/>
        <v/>
      </c>
      <c r="B233" s="1" t="str">
        <f t="shared" si="6"/>
        <v/>
      </c>
      <c r="C233" s="1" t="str">
        <f t="shared" si="7"/>
        <v/>
      </c>
      <c r="D233" s="1" t="str">
        <f t="shared" si="8"/>
        <v/>
      </c>
      <c r="K233" s="1"/>
    </row>
    <row r="234" spans="1:11">
      <c r="A234" s="1" t="str">
        <f t="shared" si="5"/>
        <v/>
      </c>
      <c r="B234" s="1" t="str">
        <f t="shared" si="6"/>
        <v/>
      </c>
      <c r="C234" s="1" t="str">
        <f t="shared" si="7"/>
        <v/>
      </c>
      <c r="D234" s="1" t="str">
        <f t="shared" si="8"/>
        <v/>
      </c>
      <c r="K234" s="1"/>
    </row>
    <row r="235" spans="1:11">
      <c r="A235" s="1" t="str">
        <f t="shared" si="5"/>
        <v/>
      </c>
      <c r="B235" s="1" t="str">
        <f t="shared" si="6"/>
        <v/>
      </c>
      <c r="C235" s="1" t="str">
        <f t="shared" si="7"/>
        <v/>
      </c>
      <c r="D235" s="1" t="str">
        <f t="shared" si="8"/>
        <v/>
      </c>
      <c r="K235" s="1"/>
    </row>
    <row r="236" spans="1:11">
      <c r="A236" s="1" t="str">
        <f t="shared" si="5"/>
        <v/>
      </c>
      <c r="B236" s="1" t="str">
        <f t="shared" si="6"/>
        <v/>
      </c>
      <c r="C236" s="1" t="str">
        <f t="shared" si="7"/>
        <v/>
      </c>
      <c r="D236" s="1" t="str">
        <f t="shared" si="8"/>
        <v/>
      </c>
      <c r="K236" s="1"/>
    </row>
    <row r="237" spans="1:11">
      <c r="K237" s="1"/>
    </row>
    <row r="238" spans="1:11">
      <c r="K238" s="1"/>
    </row>
    <row r="239" spans="1:11">
      <c r="K239" s="1"/>
    </row>
    <row r="240" spans="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</sheetData>
  <autoFilter ref="K1:K1011" xr:uid="{00000000-0009-0000-0000-00000B000000}"/>
  <dataValidations count="1">
    <dataValidation type="list" allowBlank="1" showErrorMessage="1" sqref="K1:K158 K162:K1008" xr:uid="{00000000-0002-0000-0B00-000000000000}">
      <formula1>"Assurances/Mutuelle,Bricolage/Travaux,Catégorie,Charges,Courses,Divers,Internet/Téléphone,Logement,Loisirs,Medical,Scolarité,Soins,Vêtements,Voiture/Déplacement,Cadeau,Epargne"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C1008"/>
  <sheetViews>
    <sheetView tabSelected="1" workbookViewId="0"/>
  </sheetViews>
  <sheetFormatPr defaultColWidth="12.6640625" defaultRowHeight="15.75" customHeight="1"/>
  <cols>
    <col min="1" max="1" width="22.88671875" customWidth="1"/>
    <col min="2" max="2" width="31.21875" customWidth="1"/>
    <col min="5" max="5" width="24.109375" customWidth="1"/>
    <col min="7" max="7" width="28.77734375" customWidth="1"/>
    <col min="11" max="11" width="29.21875" customWidth="1"/>
  </cols>
  <sheetData>
    <row r="1" spans="1:29">
      <c r="A1" s="1"/>
      <c r="B1" s="1" t="s">
        <v>27</v>
      </c>
      <c r="C1" s="1"/>
      <c r="D1" s="1"/>
      <c r="E1" s="1" t="s">
        <v>28</v>
      </c>
      <c r="K1" s="1" t="s">
        <v>29</v>
      </c>
    </row>
    <row r="2" spans="1:29">
      <c r="K2" s="1"/>
    </row>
    <row r="3" spans="1:29">
      <c r="A3" s="1"/>
      <c r="B3" s="1" t="s">
        <v>30</v>
      </c>
      <c r="C3" s="1">
        <v>5441.88</v>
      </c>
      <c r="E3" s="1" t="s">
        <v>31</v>
      </c>
      <c r="F3" s="1">
        <v>669.7</v>
      </c>
      <c r="G3" s="1" t="s">
        <v>32</v>
      </c>
      <c r="H3" s="1">
        <f t="shared" ref="H3:H6" si="0">IF(G3="x",F3,0)</f>
        <v>669.7</v>
      </c>
      <c r="K3" s="1" t="s">
        <v>25</v>
      </c>
    </row>
    <row r="4" spans="1:29">
      <c r="A4" s="1"/>
      <c r="B4" s="1" t="s">
        <v>33</v>
      </c>
      <c r="C4" s="1">
        <v>1938.46</v>
      </c>
      <c r="E4" s="1" t="s">
        <v>34</v>
      </c>
      <c r="F4" s="1">
        <v>200</v>
      </c>
      <c r="G4" s="1" t="s">
        <v>32</v>
      </c>
      <c r="H4" s="1">
        <f t="shared" si="0"/>
        <v>200</v>
      </c>
      <c r="K4" s="1" t="s">
        <v>26</v>
      </c>
    </row>
    <row r="5" spans="1:29">
      <c r="A5" s="1"/>
      <c r="B5" s="1" t="s">
        <v>35</v>
      </c>
      <c r="C5" s="1">
        <v>113.3</v>
      </c>
      <c r="E5" s="1" t="s">
        <v>36</v>
      </c>
      <c r="F5" s="1">
        <v>70</v>
      </c>
      <c r="G5" s="1" t="s">
        <v>32</v>
      </c>
      <c r="H5" s="1">
        <f t="shared" si="0"/>
        <v>70</v>
      </c>
      <c r="K5" s="1" t="s">
        <v>26</v>
      </c>
    </row>
    <row r="6" spans="1:29">
      <c r="E6" s="11" t="s">
        <v>37</v>
      </c>
      <c r="F6" s="10">
        <v>164.99</v>
      </c>
      <c r="G6" s="11" t="s">
        <v>32</v>
      </c>
      <c r="H6" s="1">
        <f t="shared" si="0"/>
        <v>164.99</v>
      </c>
      <c r="K6" s="1" t="s">
        <v>26</v>
      </c>
    </row>
    <row r="7" spans="1:29">
      <c r="A7" s="11"/>
      <c r="D7" s="11"/>
      <c r="E7" s="1" t="s">
        <v>38</v>
      </c>
      <c r="F7" s="1">
        <v>995.15</v>
      </c>
      <c r="G7" s="11" t="s">
        <v>32</v>
      </c>
      <c r="H7" s="10">
        <f>IF(G7="x",F7,0)</f>
        <v>995.15</v>
      </c>
      <c r="I7" s="11"/>
      <c r="J7" s="11"/>
      <c r="K7" s="1" t="s">
        <v>25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>
      <c r="B8" s="1" t="s">
        <v>189</v>
      </c>
      <c r="C8" s="1">
        <v>21</v>
      </c>
      <c r="E8" s="1" t="s">
        <v>40</v>
      </c>
      <c r="F8" s="1">
        <v>883.42</v>
      </c>
      <c r="G8" s="1" t="s">
        <v>32</v>
      </c>
      <c r="H8" s="1">
        <f t="shared" ref="H8:H29" si="1">IF(G8="x",F8,0)</f>
        <v>883.42</v>
      </c>
      <c r="K8" s="1" t="s">
        <v>25</v>
      </c>
    </row>
    <row r="9" spans="1:29">
      <c r="B9" s="11" t="s">
        <v>429</v>
      </c>
      <c r="C9" s="11">
        <v>509.85</v>
      </c>
      <c r="E9" s="1" t="s">
        <v>42</v>
      </c>
      <c r="F9" s="1">
        <v>11.46</v>
      </c>
      <c r="G9" s="1" t="s">
        <v>32</v>
      </c>
      <c r="H9" s="1">
        <f t="shared" si="1"/>
        <v>11.46</v>
      </c>
      <c r="K9" s="1" t="s">
        <v>25</v>
      </c>
    </row>
    <row r="10" spans="1:29">
      <c r="B10" s="1" t="s">
        <v>430</v>
      </c>
      <c r="C10" s="1">
        <v>449</v>
      </c>
      <c r="E10" s="1" t="s">
        <v>42</v>
      </c>
      <c r="F10" s="1">
        <v>32.57</v>
      </c>
      <c r="G10" s="1" t="s">
        <v>32</v>
      </c>
      <c r="H10" s="1">
        <f t="shared" si="1"/>
        <v>32.57</v>
      </c>
      <c r="K10" s="1" t="s">
        <v>25</v>
      </c>
    </row>
    <row r="11" spans="1:29">
      <c r="B11" s="1" t="s">
        <v>100</v>
      </c>
      <c r="C11" s="1">
        <v>328.24</v>
      </c>
      <c r="E11" s="1" t="s">
        <v>42</v>
      </c>
      <c r="F11" s="1">
        <v>84.98</v>
      </c>
      <c r="G11" s="1" t="s">
        <v>32</v>
      </c>
      <c r="H11" s="1">
        <f t="shared" si="1"/>
        <v>84.98</v>
      </c>
      <c r="K11" s="1" t="s">
        <v>25</v>
      </c>
    </row>
    <row r="12" spans="1:29">
      <c r="B12" s="1" t="s">
        <v>431</v>
      </c>
      <c r="C12" s="1">
        <v>576.99</v>
      </c>
      <c r="E12" s="1" t="s">
        <v>42</v>
      </c>
      <c r="F12" s="1">
        <v>33.49</v>
      </c>
      <c r="G12" s="1" t="s">
        <v>32</v>
      </c>
      <c r="H12" s="1">
        <f t="shared" si="1"/>
        <v>33.49</v>
      </c>
      <c r="K12" s="1" t="s">
        <v>25</v>
      </c>
    </row>
    <row r="13" spans="1:29">
      <c r="B13" s="1" t="s">
        <v>432</v>
      </c>
      <c r="C13" s="1">
        <v>51.59</v>
      </c>
      <c r="E13" s="1" t="s">
        <v>43</v>
      </c>
      <c r="F13" s="1">
        <v>6.99</v>
      </c>
      <c r="G13" s="1" t="s">
        <v>32</v>
      </c>
      <c r="H13" s="1">
        <f t="shared" si="1"/>
        <v>6.99</v>
      </c>
      <c r="K13" s="1" t="s">
        <v>44</v>
      </c>
    </row>
    <row r="14" spans="1:29">
      <c r="B14" s="1" t="s">
        <v>189</v>
      </c>
      <c r="C14" s="1">
        <v>26.15</v>
      </c>
      <c r="E14" s="1" t="s">
        <v>45</v>
      </c>
      <c r="F14" s="1">
        <v>43.96</v>
      </c>
      <c r="G14" s="1" t="s">
        <v>32</v>
      </c>
      <c r="H14" s="1">
        <f t="shared" si="1"/>
        <v>43.96</v>
      </c>
      <c r="K14" s="1" t="s">
        <v>26</v>
      </c>
    </row>
    <row r="15" spans="1:29">
      <c r="E15" s="1" t="s">
        <v>46</v>
      </c>
      <c r="F15" s="1">
        <v>208</v>
      </c>
      <c r="G15" s="1" t="s">
        <v>32</v>
      </c>
      <c r="H15" s="1">
        <f t="shared" si="1"/>
        <v>208</v>
      </c>
      <c r="K15" s="1" t="s">
        <v>26</v>
      </c>
    </row>
    <row r="16" spans="1:29">
      <c r="E16" s="1" t="s">
        <v>47</v>
      </c>
      <c r="F16" s="1">
        <v>24.99</v>
      </c>
      <c r="G16" s="1" t="s">
        <v>32</v>
      </c>
      <c r="H16" s="1">
        <f t="shared" si="1"/>
        <v>24.99</v>
      </c>
      <c r="K16" s="1" t="s">
        <v>44</v>
      </c>
    </row>
    <row r="17" spans="1:29">
      <c r="E17" s="1" t="s">
        <v>164</v>
      </c>
      <c r="F17" s="1">
        <v>14.99</v>
      </c>
      <c r="G17" s="1" t="s">
        <v>32</v>
      </c>
      <c r="H17" s="1">
        <f t="shared" si="1"/>
        <v>14.99</v>
      </c>
      <c r="K17" s="1" t="s">
        <v>44</v>
      </c>
    </row>
    <row r="18" spans="1:29">
      <c r="E18" s="1" t="s">
        <v>48</v>
      </c>
      <c r="F18" s="1">
        <v>14.99</v>
      </c>
      <c r="G18" s="1" t="s">
        <v>32</v>
      </c>
      <c r="H18" s="1">
        <f t="shared" si="1"/>
        <v>14.99</v>
      </c>
      <c r="K18" s="1" t="s">
        <v>44</v>
      </c>
    </row>
    <row r="19" spans="1:29">
      <c r="E19" s="1" t="s">
        <v>49</v>
      </c>
      <c r="F19" s="1">
        <v>14.99</v>
      </c>
      <c r="H19" s="1">
        <f t="shared" si="1"/>
        <v>0</v>
      </c>
      <c r="K19" s="1" t="s">
        <v>44</v>
      </c>
    </row>
    <row r="20" spans="1:29">
      <c r="E20" s="1" t="s">
        <v>50</v>
      </c>
      <c r="F20" s="1">
        <v>10.99</v>
      </c>
      <c r="G20" s="1" t="s">
        <v>32</v>
      </c>
      <c r="H20" s="1">
        <f t="shared" si="1"/>
        <v>10.99</v>
      </c>
      <c r="K20" s="1" t="s">
        <v>44</v>
      </c>
    </row>
    <row r="21" spans="1:29">
      <c r="E21" s="1" t="s">
        <v>51</v>
      </c>
      <c r="F21" s="1">
        <v>102.87</v>
      </c>
      <c r="G21" s="1" t="s">
        <v>433</v>
      </c>
      <c r="H21" s="1">
        <f t="shared" si="1"/>
        <v>0</v>
      </c>
      <c r="K21" s="1" t="s">
        <v>52</v>
      </c>
    </row>
    <row r="22" spans="1:29">
      <c r="E22" s="1" t="s">
        <v>434</v>
      </c>
      <c r="F22" s="1">
        <v>104.98</v>
      </c>
      <c r="G22" s="1" t="s">
        <v>32</v>
      </c>
      <c r="H22" s="1">
        <f t="shared" si="1"/>
        <v>104.98</v>
      </c>
      <c r="K22" s="1" t="s">
        <v>52</v>
      </c>
    </row>
    <row r="23" spans="1:29">
      <c r="E23" s="1" t="s">
        <v>305</v>
      </c>
      <c r="F23" s="1">
        <v>53.22</v>
      </c>
      <c r="G23" s="1" t="s">
        <v>32</v>
      </c>
      <c r="H23" s="1">
        <f t="shared" si="1"/>
        <v>53.22</v>
      </c>
      <c r="K23" s="1" t="s">
        <v>52</v>
      </c>
    </row>
    <row r="24" spans="1:29">
      <c r="E24" s="1" t="s">
        <v>105</v>
      </c>
      <c r="F24" s="1">
        <v>331.65</v>
      </c>
      <c r="G24" s="1" t="s">
        <v>32</v>
      </c>
      <c r="H24" s="1">
        <f t="shared" si="1"/>
        <v>331.65</v>
      </c>
      <c r="K24" s="1" t="s">
        <v>55</v>
      </c>
    </row>
    <row r="25" spans="1:29">
      <c r="E25" s="1" t="s">
        <v>266</v>
      </c>
      <c r="F25" s="1">
        <v>94.22</v>
      </c>
      <c r="G25" s="1" t="s">
        <v>32</v>
      </c>
      <c r="H25" s="1">
        <f t="shared" si="1"/>
        <v>94.22</v>
      </c>
      <c r="K25" s="1" t="s">
        <v>52</v>
      </c>
    </row>
    <row r="26" spans="1:29">
      <c r="E26" s="1" t="s">
        <v>57</v>
      </c>
      <c r="F26" s="1">
        <v>28.58</v>
      </c>
      <c r="G26" s="1" t="s">
        <v>32</v>
      </c>
      <c r="H26" s="1">
        <f t="shared" si="1"/>
        <v>28.58</v>
      </c>
      <c r="K26" s="1" t="s">
        <v>52</v>
      </c>
    </row>
    <row r="27" spans="1:29">
      <c r="E27" s="1" t="s">
        <v>58</v>
      </c>
      <c r="F27" s="1">
        <v>20</v>
      </c>
      <c r="G27" s="1" t="s">
        <v>32</v>
      </c>
      <c r="H27" s="1">
        <f t="shared" si="1"/>
        <v>20</v>
      </c>
      <c r="K27" s="1" t="s">
        <v>59</v>
      </c>
    </row>
    <row r="28" spans="1:29">
      <c r="E28" s="1" t="s">
        <v>60</v>
      </c>
      <c r="F28" s="1">
        <v>21.99</v>
      </c>
      <c r="G28" s="1" t="s">
        <v>32</v>
      </c>
      <c r="H28" s="1">
        <f t="shared" si="1"/>
        <v>21.99</v>
      </c>
      <c r="K28" s="1" t="s">
        <v>44</v>
      </c>
    </row>
    <row r="29" spans="1:29">
      <c r="H29" s="1">
        <f t="shared" si="1"/>
        <v>0</v>
      </c>
      <c r="K29" s="1" t="s">
        <v>55</v>
      </c>
    </row>
    <row r="30" spans="1:29">
      <c r="E30" s="1" t="s">
        <v>61</v>
      </c>
      <c r="F30" s="1">
        <v>21.4</v>
      </c>
      <c r="G30" s="11" t="s">
        <v>32</v>
      </c>
      <c r="H30" s="10">
        <f>IF(G30="x",F30,0)</f>
        <v>21.4</v>
      </c>
      <c r="K30" s="1" t="s">
        <v>55</v>
      </c>
    </row>
    <row r="31" spans="1:29">
      <c r="E31" s="11" t="s">
        <v>62</v>
      </c>
      <c r="F31" s="10">
        <v>0.99</v>
      </c>
      <c r="G31" s="1" t="s">
        <v>32</v>
      </c>
      <c r="H31" s="1">
        <f t="shared" ref="H31:H37" si="2">IF(G31="x",F31,0)</f>
        <v>0.99</v>
      </c>
      <c r="K31" s="1" t="s">
        <v>44</v>
      </c>
    </row>
    <row r="32" spans="1:29">
      <c r="A32" s="11"/>
      <c r="B32" s="11"/>
      <c r="C32" s="11"/>
      <c r="D32" s="11"/>
      <c r="E32" s="1" t="s">
        <v>62</v>
      </c>
      <c r="F32" s="1">
        <v>16.989999999999998</v>
      </c>
      <c r="G32" s="1" t="s">
        <v>32</v>
      </c>
      <c r="H32" s="1">
        <f t="shared" si="2"/>
        <v>16.989999999999998</v>
      </c>
      <c r="I32" s="11"/>
      <c r="J32" s="11"/>
      <c r="K32" s="1" t="s">
        <v>44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>
      <c r="A33" s="11"/>
      <c r="B33" s="11"/>
      <c r="C33" s="11"/>
      <c r="D33" s="11"/>
      <c r="E33" s="1" t="s">
        <v>106</v>
      </c>
      <c r="F33" s="1">
        <v>178.3</v>
      </c>
      <c r="G33" s="1" t="s">
        <v>32</v>
      </c>
      <c r="H33" s="1">
        <f t="shared" si="2"/>
        <v>178.3</v>
      </c>
      <c r="I33" s="11"/>
      <c r="J33" s="11"/>
      <c r="K33" s="1" t="s">
        <v>64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>
      <c r="E34" s="1" t="s">
        <v>65</v>
      </c>
      <c r="F34" s="1">
        <v>136</v>
      </c>
      <c r="G34" s="1" t="s">
        <v>32</v>
      </c>
      <c r="H34" s="1">
        <f t="shared" si="2"/>
        <v>136</v>
      </c>
      <c r="K34" s="1" t="s">
        <v>25</v>
      </c>
    </row>
    <row r="35" spans="1:29">
      <c r="A35" s="1"/>
      <c r="E35" s="1" t="s">
        <v>66</v>
      </c>
      <c r="F35" s="1">
        <v>52.34</v>
      </c>
      <c r="G35" s="1" t="s">
        <v>32</v>
      </c>
      <c r="H35" s="1">
        <f t="shared" si="2"/>
        <v>52.34</v>
      </c>
      <c r="K35" s="1" t="s">
        <v>25</v>
      </c>
    </row>
    <row r="36" spans="1:29">
      <c r="A36" s="1"/>
      <c r="C36" s="1"/>
      <c r="E36" s="1" t="s">
        <v>67</v>
      </c>
      <c r="F36" s="1">
        <v>19.03</v>
      </c>
      <c r="G36" s="1" t="s">
        <v>32</v>
      </c>
      <c r="H36" s="1">
        <f t="shared" si="2"/>
        <v>19.03</v>
      </c>
      <c r="K36" s="1"/>
    </row>
    <row r="37" spans="1:29">
      <c r="A37" s="1"/>
      <c r="C37" s="1"/>
      <c r="E37" s="1" t="s">
        <v>68</v>
      </c>
      <c r="F37" s="1">
        <v>33.89</v>
      </c>
      <c r="G37" s="1" t="s">
        <v>32</v>
      </c>
      <c r="H37" s="1">
        <f t="shared" si="2"/>
        <v>33.89</v>
      </c>
      <c r="K37" s="1"/>
    </row>
    <row r="38" spans="1:29">
      <c r="A38" s="1"/>
      <c r="C38" s="1"/>
      <c r="K38" s="1"/>
    </row>
    <row r="39" spans="1:29">
      <c r="A39" s="1" t="s">
        <v>69</v>
      </c>
      <c r="C39" s="1" t="e">
        <f>#REF!</f>
        <v>#REF!</v>
      </c>
      <c r="K39" s="1"/>
    </row>
    <row r="40" spans="1:29">
      <c r="A40" s="1" t="s">
        <v>70</v>
      </c>
      <c r="C40" s="1">
        <f>SUM(C2:C6)</f>
        <v>7493.64</v>
      </c>
      <c r="E40" s="1" t="s">
        <v>71</v>
      </c>
      <c r="F40" s="1">
        <f>SUM(F2:F38)</f>
        <v>4702.1099999999979</v>
      </c>
      <c r="G40" s="1" t="s">
        <v>72</v>
      </c>
      <c r="H40" s="1">
        <f>SUM(H2:H38)</f>
        <v>4584.2499999999982</v>
      </c>
      <c r="I40" s="1" t="s">
        <v>73</v>
      </c>
      <c r="K40" s="1"/>
    </row>
    <row r="41" spans="1:29">
      <c r="A41" s="1" t="s">
        <v>74</v>
      </c>
      <c r="C41" s="1">
        <f>SUM(C8:C35)</f>
        <v>1962.8200000000002</v>
      </c>
      <c r="E41" s="1" t="s">
        <v>75</v>
      </c>
      <c r="F41" s="1" t="e">
        <f>C42-F40</f>
        <v>#REF!</v>
      </c>
      <c r="G41" s="1" t="s">
        <v>76</v>
      </c>
      <c r="H41" s="1" t="e">
        <f>C39+C40+C41-H40-F42</f>
        <v>#REF!</v>
      </c>
      <c r="K41" s="1"/>
    </row>
    <row r="42" spans="1:29">
      <c r="A42" s="1" t="s">
        <v>77</v>
      </c>
      <c r="C42" s="1" t="e">
        <f>SUM(C39:C41)</f>
        <v>#REF!</v>
      </c>
      <c r="E42" s="1" t="s">
        <v>78</v>
      </c>
      <c r="F42" s="1">
        <f>SUM(J44:J246)</f>
        <v>4923.1000000000004</v>
      </c>
      <c r="K42" s="1"/>
    </row>
    <row r="43" spans="1:29" ht="15.75" customHeight="1">
      <c r="A43" s="12" t="s">
        <v>79</v>
      </c>
      <c r="B43" s="12" t="e">
        <f>$C$42-$F$40-$F$42</f>
        <v>#REF!</v>
      </c>
      <c r="C43" s="1" t="s">
        <v>80</v>
      </c>
      <c r="D43" s="1" t="e">
        <f>$C$42-$H$40-$F$42</f>
        <v>#REF!</v>
      </c>
      <c r="K43" s="1"/>
    </row>
    <row r="44" spans="1:29">
      <c r="A44" s="1" t="str">
        <f>IF(AND(NOT(ISBLANK(#REF!)),ISBLANK(G44)),"Reste prévu","")</f>
        <v/>
      </c>
      <c r="B44" s="1" t="str">
        <f>IF(AND(NOT(ISBLANK(#REF!)),ISBLANK($G44)),$C$42-$F$40-$F$42,"")</f>
        <v/>
      </c>
      <c r="C44" s="1" t="str">
        <f>IF(AND(NOT(ISBLANK(#REF!)),ISBLANK($G44)),"Reste réel","")</f>
        <v/>
      </c>
      <c r="D44" s="1" t="str">
        <f>IF(AND(NOT(ISBLANK(#REF!)),ISBLANK($G44)),$C$42-$H$40-$F$42,"")</f>
        <v/>
      </c>
      <c r="G44" s="1" t="s">
        <v>346</v>
      </c>
      <c r="H44" s="1">
        <v>7.35</v>
      </c>
      <c r="I44" s="1" t="s">
        <v>32</v>
      </c>
      <c r="J44" s="13">
        <f t="shared" ref="J44:J213" si="3">IF(I44="x",H44,0)</f>
        <v>7.35</v>
      </c>
      <c r="K44" s="1" t="s">
        <v>24</v>
      </c>
    </row>
    <row r="45" spans="1:29">
      <c r="A45" s="1" t="str">
        <f t="shared" ref="A45:A236" si="4">IF(AND(NOT(ISBLANK(G44)),ISBLANK(G45)),"Reste prévu","")</f>
        <v/>
      </c>
      <c r="B45" s="1" t="str">
        <f t="shared" ref="B45:B236" si="5">IF(AND(NOT(ISBLANK($G44)),ISBLANK($G45)),$C$42-$F$40-$F$42,"")</f>
        <v/>
      </c>
      <c r="C45" s="1" t="str">
        <f t="shared" ref="C45:C236" si="6">IF(AND(NOT(ISBLANK($G44)),ISBLANK($G45)),"Reste réel","")</f>
        <v/>
      </c>
      <c r="D45" s="1" t="str">
        <f t="shared" ref="D45:D236" si="7">IF(AND(NOT(ISBLANK($G44)),ISBLANK($G45)),$C$42-$H$40-$F$42,"")</f>
        <v/>
      </c>
      <c r="G45" s="1" t="s">
        <v>87</v>
      </c>
      <c r="H45" s="1">
        <v>15.65</v>
      </c>
      <c r="I45" s="1" t="s">
        <v>32</v>
      </c>
      <c r="J45" s="13">
        <f t="shared" si="3"/>
        <v>15.65</v>
      </c>
      <c r="K45" s="1" t="s">
        <v>24</v>
      </c>
    </row>
    <row r="46" spans="1:29">
      <c r="A46" s="1" t="str">
        <f t="shared" si="4"/>
        <v/>
      </c>
      <c r="B46" s="1" t="str">
        <f t="shared" si="5"/>
        <v/>
      </c>
      <c r="C46" s="1" t="str">
        <f t="shared" si="6"/>
        <v/>
      </c>
      <c r="D46" s="1" t="str">
        <f t="shared" si="7"/>
        <v/>
      </c>
      <c r="G46" s="1" t="s">
        <v>87</v>
      </c>
      <c r="H46" s="1">
        <v>39.06</v>
      </c>
      <c r="I46" s="1" t="s">
        <v>32</v>
      </c>
      <c r="J46" s="13">
        <f t="shared" si="3"/>
        <v>39.06</v>
      </c>
      <c r="K46" s="1" t="s">
        <v>24</v>
      </c>
    </row>
    <row r="47" spans="1:29">
      <c r="A47" s="1" t="str">
        <f t="shared" si="4"/>
        <v/>
      </c>
      <c r="B47" s="1" t="str">
        <f t="shared" si="5"/>
        <v/>
      </c>
      <c r="C47" s="1" t="str">
        <f t="shared" si="6"/>
        <v/>
      </c>
      <c r="D47" s="1" t="str">
        <f t="shared" si="7"/>
        <v/>
      </c>
      <c r="G47" s="1" t="s">
        <v>435</v>
      </c>
      <c r="H47" s="1">
        <v>45</v>
      </c>
      <c r="I47" s="1" t="s">
        <v>32</v>
      </c>
      <c r="J47" s="13">
        <f t="shared" si="3"/>
        <v>45</v>
      </c>
      <c r="K47" s="1" t="s">
        <v>29</v>
      </c>
    </row>
    <row r="48" spans="1:29">
      <c r="A48" s="1" t="str">
        <f t="shared" si="4"/>
        <v/>
      </c>
      <c r="B48" s="1" t="str">
        <f t="shared" si="5"/>
        <v/>
      </c>
      <c r="C48" s="1" t="str">
        <f t="shared" si="6"/>
        <v/>
      </c>
      <c r="D48" s="1" t="str">
        <f t="shared" si="7"/>
        <v/>
      </c>
      <c r="G48" s="1" t="s">
        <v>84</v>
      </c>
      <c r="H48" s="1">
        <v>71.400000000000006</v>
      </c>
      <c r="I48" s="1" t="s">
        <v>32</v>
      </c>
      <c r="J48" s="13">
        <f t="shared" si="3"/>
        <v>71.400000000000006</v>
      </c>
      <c r="K48" s="1" t="s">
        <v>85</v>
      </c>
    </row>
    <row r="49" spans="1:11">
      <c r="A49" s="1" t="str">
        <f t="shared" si="4"/>
        <v/>
      </c>
      <c r="B49" s="1" t="str">
        <f t="shared" si="5"/>
        <v/>
      </c>
      <c r="C49" s="1" t="str">
        <f t="shared" si="6"/>
        <v/>
      </c>
      <c r="D49" s="1" t="str">
        <f t="shared" si="7"/>
        <v/>
      </c>
      <c r="G49" s="1" t="s">
        <v>436</v>
      </c>
      <c r="H49" s="1">
        <v>11.76</v>
      </c>
      <c r="I49" s="1" t="s">
        <v>32</v>
      </c>
      <c r="J49" s="13">
        <f t="shared" si="3"/>
        <v>11.76</v>
      </c>
      <c r="K49" s="1" t="s">
        <v>55</v>
      </c>
    </row>
    <row r="50" spans="1:11">
      <c r="A50" s="1" t="str">
        <f t="shared" si="4"/>
        <v/>
      </c>
      <c r="B50" s="1" t="str">
        <f t="shared" si="5"/>
        <v/>
      </c>
      <c r="C50" s="1" t="str">
        <f t="shared" si="6"/>
        <v/>
      </c>
      <c r="D50" s="1" t="str">
        <f t="shared" si="7"/>
        <v/>
      </c>
      <c r="G50" s="1" t="s">
        <v>437</v>
      </c>
      <c r="H50" s="1">
        <v>45.58</v>
      </c>
      <c r="I50" s="1" t="s">
        <v>32</v>
      </c>
      <c r="J50" s="13">
        <f t="shared" si="3"/>
        <v>45.58</v>
      </c>
      <c r="K50" s="1" t="s">
        <v>24</v>
      </c>
    </row>
    <row r="51" spans="1:11">
      <c r="A51" s="1" t="str">
        <f t="shared" si="4"/>
        <v/>
      </c>
      <c r="B51" s="1" t="str">
        <f t="shared" si="5"/>
        <v/>
      </c>
      <c r="C51" s="1" t="str">
        <f t="shared" si="6"/>
        <v/>
      </c>
      <c r="D51" s="1" t="str">
        <f t="shared" si="7"/>
        <v/>
      </c>
      <c r="G51" s="1" t="s">
        <v>438</v>
      </c>
      <c r="H51" s="1">
        <v>53.2</v>
      </c>
      <c r="I51" s="1" t="s">
        <v>32</v>
      </c>
      <c r="J51" s="13">
        <f t="shared" si="3"/>
        <v>53.2</v>
      </c>
      <c r="K51" s="1" t="s">
        <v>24</v>
      </c>
    </row>
    <row r="52" spans="1:11">
      <c r="A52" s="1" t="str">
        <f t="shared" si="4"/>
        <v/>
      </c>
      <c r="B52" s="1" t="str">
        <f t="shared" si="5"/>
        <v/>
      </c>
      <c r="C52" s="1" t="str">
        <f t="shared" si="6"/>
        <v/>
      </c>
      <c r="D52" s="1" t="str">
        <f t="shared" si="7"/>
        <v/>
      </c>
      <c r="G52" s="1" t="s">
        <v>115</v>
      </c>
      <c r="H52" s="1">
        <v>13</v>
      </c>
      <c r="I52" s="1" t="s">
        <v>32</v>
      </c>
      <c r="J52" s="13">
        <f t="shared" si="3"/>
        <v>13</v>
      </c>
      <c r="K52" s="1" t="s">
        <v>59</v>
      </c>
    </row>
    <row r="53" spans="1:11">
      <c r="A53" s="1" t="str">
        <f t="shared" si="4"/>
        <v/>
      </c>
      <c r="B53" s="1" t="str">
        <f t="shared" si="5"/>
        <v/>
      </c>
      <c r="C53" s="1" t="str">
        <f t="shared" si="6"/>
        <v/>
      </c>
      <c r="D53" s="1" t="str">
        <f t="shared" si="7"/>
        <v/>
      </c>
      <c r="G53" s="1" t="s">
        <v>94</v>
      </c>
      <c r="H53" s="1">
        <v>5.97</v>
      </c>
      <c r="I53" s="1" t="s">
        <v>32</v>
      </c>
      <c r="J53" s="13">
        <f t="shared" si="3"/>
        <v>5.97</v>
      </c>
      <c r="K53" s="1" t="s">
        <v>98</v>
      </c>
    </row>
    <row r="54" spans="1:11">
      <c r="A54" s="1" t="str">
        <f t="shared" si="4"/>
        <v/>
      </c>
      <c r="B54" s="1" t="str">
        <f t="shared" si="5"/>
        <v/>
      </c>
      <c r="C54" s="1" t="str">
        <f t="shared" si="6"/>
        <v/>
      </c>
      <c r="D54" s="1" t="str">
        <f t="shared" si="7"/>
        <v/>
      </c>
      <c r="G54" s="1" t="s">
        <v>87</v>
      </c>
      <c r="H54" s="1">
        <v>34.01</v>
      </c>
      <c r="I54" s="1" t="s">
        <v>32</v>
      </c>
      <c r="J54" s="13">
        <f t="shared" si="3"/>
        <v>34.01</v>
      </c>
      <c r="K54" s="1" t="s">
        <v>24</v>
      </c>
    </row>
    <row r="55" spans="1:11">
      <c r="A55" s="1" t="str">
        <f t="shared" si="4"/>
        <v/>
      </c>
      <c r="B55" s="1" t="str">
        <f t="shared" si="5"/>
        <v/>
      </c>
      <c r="C55" s="1" t="str">
        <f t="shared" si="6"/>
        <v/>
      </c>
      <c r="D55" s="1" t="str">
        <f t="shared" si="7"/>
        <v/>
      </c>
      <c r="G55" s="1" t="s">
        <v>113</v>
      </c>
      <c r="H55" s="1">
        <v>105.7</v>
      </c>
      <c r="I55" s="1" t="s">
        <v>32</v>
      </c>
      <c r="J55" s="13">
        <f t="shared" si="3"/>
        <v>105.7</v>
      </c>
      <c r="K55" s="1" t="s">
        <v>55</v>
      </c>
    </row>
    <row r="56" spans="1:11">
      <c r="A56" s="1" t="str">
        <f t="shared" si="4"/>
        <v/>
      </c>
      <c r="B56" s="1" t="str">
        <f t="shared" si="5"/>
        <v/>
      </c>
      <c r="C56" s="1" t="str">
        <f t="shared" si="6"/>
        <v/>
      </c>
      <c r="D56" s="1" t="str">
        <f t="shared" si="7"/>
        <v/>
      </c>
      <c r="G56" s="1" t="s">
        <v>439</v>
      </c>
      <c r="H56" s="1">
        <v>26.82</v>
      </c>
      <c r="I56" s="1" t="s">
        <v>32</v>
      </c>
      <c r="J56" s="13">
        <f t="shared" si="3"/>
        <v>26.82</v>
      </c>
      <c r="K56" s="1" t="s">
        <v>24</v>
      </c>
    </row>
    <row r="57" spans="1:11">
      <c r="A57" s="1" t="str">
        <f t="shared" si="4"/>
        <v/>
      </c>
      <c r="B57" s="1" t="str">
        <f t="shared" si="5"/>
        <v/>
      </c>
      <c r="C57" s="1" t="str">
        <f t="shared" si="6"/>
        <v/>
      </c>
      <c r="D57" s="1" t="str">
        <f t="shared" si="7"/>
        <v/>
      </c>
      <c r="G57" s="1" t="s">
        <v>126</v>
      </c>
      <c r="H57" s="1">
        <v>9</v>
      </c>
      <c r="I57" s="1" t="s">
        <v>32</v>
      </c>
      <c r="J57" s="13">
        <f t="shared" si="3"/>
        <v>9</v>
      </c>
      <c r="K57" s="1" t="s">
        <v>55</v>
      </c>
    </row>
    <row r="58" spans="1:11">
      <c r="A58" s="1" t="str">
        <f t="shared" si="4"/>
        <v/>
      </c>
      <c r="B58" s="1" t="str">
        <f t="shared" si="5"/>
        <v/>
      </c>
      <c r="C58" s="1" t="str">
        <f t="shared" si="6"/>
        <v/>
      </c>
      <c r="D58" s="1" t="str">
        <f t="shared" si="7"/>
        <v/>
      </c>
      <c r="G58" s="1" t="s">
        <v>274</v>
      </c>
      <c r="H58" s="1">
        <v>60</v>
      </c>
      <c r="I58" s="1" t="s">
        <v>32</v>
      </c>
      <c r="J58" s="13">
        <f t="shared" si="3"/>
        <v>60</v>
      </c>
      <c r="K58" s="1" t="s">
        <v>85</v>
      </c>
    </row>
    <row r="59" spans="1:11">
      <c r="A59" s="1" t="str">
        <f t="shared" si="4"/>
        <v/>
      </c>
      <c r="B59" s="1" t="str">
        <f t="shared" si="5"/>
        <v/>
      </c>
      <c r="C59" s="1" t="str">
        <f t="shared" si="6"/>
        <v/>
      </c>
      <c r="D59" s="1" t="str">
        <f t="shared" si="7"/>
        <v/>
      </c>
      <c r="G59" s="1" t="s">
        <v>378</v>
      </c>
      <c r="H59" s="1">
        <v>8.94</v>
      </c>
      <c r="I59" s="1" t="s">
        <v>32</v>
      </c>
      <c r="J59" s="13">
        <f t="shared" si="3"/>
        <v>8.94</v>
      </c>
      <c r="K59" s="1" t="s">
        <v>24</v>
      </c>
    </row>
    <row r="60" spans="1:11">
      <c r="A60" s="1" t="str">
        <f t="shared" si="4"/>
        <v/>
      </c>
      <c r="B60" s="1" t="str">
        <f t="shared" si="5"/>
        <v/>
      </c>
      <c r="C60" s="1" t="str">
        <f t="shared" si="6"/>
        <v/>
      </c>
      <c r="D60" s="1" t="str">
        <f t="shared" si="7"/>
        <v/>
      </c>
      <c r="G60" s="1" t="s">
        <v>87</v>
      </c>
      <c r="H60" s="1">
        <v>138.76</v>
      </c>
      <c r="I60" s="1" t="s">
        <v>32</v>
      </c>
      <c r="J60" s="13">
        <f t="shared" si="3"/>
        <v>138.76</v>
      </c>
      <c r="K60" s="1" t="s">
        <v>24</v>
      </c>
    </row>
    <row r="61" spans="1:11">
      <c r="A61" s="1" t="str">
        <f t="shared" si="4"/>
        <v/>
      </c>
      <c r="B61" s="1" t="str">
        <f t="shared" si="5"/>
        <v/>
      </c>
      <c r="C61" s="1" t="str">
        <f t="shared" si="6"/>
        <v/>
      </c>
      <c r="D61" s="1" t="str">
        <f t="shared" si="7"/>
        <v/>
      </c>
      <c r="G61" s="1" t="s">
        <v>87</v>
      </c>
      <c r="H61" s="1">
        <v>15.72</v>
      </c>
      <c r="I61" s="1" t="s">
        <v>32</v>
      </c>
      <c r="J61" s="13">
        <f t="shared" si="3"/>
        <v>15.72</v>
      </c>
      <c r="K61" s="1" t="s">
        <v>24</v>
      </c>
    </row>
    <row r="62" spans="1:11">
      <c r="A62" s="1" t="str">
        <f t="shared" si="4"/>
        <v/>
      </c>
      <c r="B62" s="1" t="str">
        <f t="shared" si="5"/>
        <v/>
      </c>
      <c r="C62" s="1" t="str">
        <f t="shared" si="6"/>
        <v/>
      </c>
      <c r="D62" s="1" t="str">
        <f t="shared" si="7"/>
        <v/>
      </c>
      <c r="G62" s="1" t="s">
        <v>126</v>
      </c>
      <c r="H62" s="1">
        <v>9</v>
      </c>
      <c r="I62" s="1" t="s">
        <v>32</v>
      </c>
      <c r="J62" s="13">
        <f t="shared" si="3"/>
        <v>9</v>
      </c>
      <c r="K62" s="1" t="s">
        <v>55</v>
      </c>
    </row>
    <row r="63" spans="1:11">
      <c r="A63" s="1" t="str">
        <f t="shared" si="4"/>
        <v/>
      </c>
      <c r="B63" s="1" t="str">
        <f t="shared" si="5"/>
        <v/>
      </c>
      <c r="C63" s="1" t="str">
        <f t="shared" si="6"/>
        <v/>
      </c>
      <c r="D63" s="1" t="str">
        <f t="shared" si="7"/>
        <v/>
      </c>
      <c r="G63" s="1" t="s">
        <v>87</v>
      </c>
      <c r="H63" s="1">
        <v>70.61</v>
      </c>
      <c r="I63" s="1" t="s">
        <v>32</v>
      </c>
      <c r="J63" s="13">
        <f t="shared" si="3"/>
        <v>70.61</v>
      </c>
      <c r="K63" s="1" t="s">
        <v>24</v>
      </c>
    </row>
    <row r="64" spans="1:11">
      <c r="A64" s="1" t="str">
        <f t="shared" si="4"/>
        <v/>
      </c>
      <c r="B64" s="1" t="str">
        <f t="shared" si="5"/>
        <v/>
      </c>
      <c r="C64" s="1" t="str">
        <f t="shared" si="6"/>
        <v/>
      </c>
      <c r="D64" s="1" t="str">
        <f t="shared" si="7"/>
        <v/>
      </c>
      <c r="G64" s="1" t="s">
        <v>144</v>
      </c>
      <c r="H64" s="1">
        <v>72.319999999999993</v>
      </c>
      <c r="I64" s="1" t="s">
        <v>32</v>
      </c>
      <c r="J64" s="13">
        <f t="shared" si="3"/>
        <v>72.319999999999993</v>
      </c>
      <c r="K64" s="1" t="s">
        <v>24</v>
      </c>
    </row>
    <row r="65" spans="1:11">
      <c r="A65" s="1" t="str">
        <f t="shared" si="4"/>
        <v/>
      </c>
      <c r="B65" s="1" t="str">
        <f t="shared" si="5"/>
        <v/>
      </c>
      <c r="C65" s="1" t="str">
        <f t="shared" si="6"/>
        <v/>
      </c>
      <c r="D65" s="1" t="str">
        <f t="shared" si="7"/>
        <v/>
      </c>
      <c r="G65" s="1" t="s">
        <v>440</v>
      </c>
      <c r="H65" s="1">
        <v>47.84</v>
      </c>
      <c r="I65" s="1" t="s">
        <v>32</v>
      </c>
      <c r="J65" s="13">
        <f t="shared" si="3"/>
        <v>47.84</v>
      </c>
      <c r="K65" s="1" t="s">
        <v>24</v>
      </c>
    </row>
    <row r="66" spans="1:11">
      <c r="A66" s="1" t="str">
        <f t="shared" si="4"/>
        <v/>
      </c>
      <c r="B66" s="1" t="str">
        <f t="shared" si="5"/>
        <v/>
      </c>
      <c r="C66" s="1" t="str">
        <f t="shared" si="6"/>
        <v/>
      </c>
      <c r="D66" s="1" t="str">
        <f t="shared" si="7"/>
        <v/>
      </c>
      <c r="G66" s="1" t="s">
        <v>441</v>
      </c>
      <c r="H66" s="1">
        <v>1</v>
      </c>
      <c r="I66" s="1" t="s">
        <v>32</v>
      </c>
      <c r="J66" s="13">
        <f t="shared" si="3"/>
        <v>1</v>
      </c>
      <c r="K66" s="1" t="s">
        <v>24</v>
      </c>
    </row>
    <row r="67" spans="1:11">
      <c r="A67" s="1" t="str">
        <f t="shared" si="4"/>
        <v/>
      </c>
      <c r="B67" s="1" t="str">
        <f t="shared" si="5"/>
        <v/>
      </c>
      <c r="C67" s="1" t="str">
        <f t="shared" si="6"/>
        <v/>
      </c>
      <c r="D67" s="1" t="str">
        <f t="shared" si="7"/>
        <v/>
      </c>
      <c r="G67" s="1" t="s">
        <v>441</v>
      </c>
      <c r="H67" s="1">
        <v>3</v>
      </c>
      <c r="I67" s="1" t="s">
        <v>32</v>
      </c>
      <c r="J67" s="13">
        <f t="shared" si="3"/>
        <v>3</v>
      </c>
      <c r="K67" s="1" t="s">
        <v>24</v>
      </c>
    </row>
    <row r="68" spans="1:11">
      <c r="A68" s="1" t="str">
        <f t="shared" si="4"/>
        <v/>
      </c>
      <c r="B68" s="1" t="str">
        <f t="shared" si="5"/>
        <v/>
      </c>
      <c r="C68" s="1" t="str">
        <f t="shared" si="6"/>
        <v/>
      </c>
      <c r="D68" s="1" t="str">
        <f t="shared" si="7"/>
        <v/>
      </c>
      <c r="G68" s="1" t="s">
        <v>378</v>
      </c>
      <c r="H68" s="1">
        <v>102.95</v>
      </c>
      <c r="I68" s="1" t="s">
        <v>32</v>
      </c>
      <c r="J68" s="13">
        <f t="shared" si="3"/>
        <v>102.95</v>
      </c>
      <c r="K68" s="1" t="s">
        <v>24</v>
      </c>
    </row>
    <row r="69" spans="1:11">
      <c r="A69" s="1" t="str">
        <f t="shared" si="4"/>
        <v/>
      </c>
      <c r="B69" s="1" t="str">
        <f t="shared" si="5"/>
        <v/>
      </c>
      <c r="C69" s="1" t="str">
        <f t="shared" si="6"/>
        <v/>
      </c>
      <c r="D69" s="1" t="str">
        <f t="shared" si="7"/>
        <v/>
      </c>
      <c r="G69" s="1" t="s">
        <v>84</v>
      </c>
      <c r="H69" s="1">
        <v>29.75</v>
      </c>
      <c r="I69" s="1" t="s">
        <v>32</v>
      </c>
      <c r="J69" s="13">
        <f t="shared" si="3"/>
        <v>29.75</v>
      </c>
      <c r="K69" s="1" t="s">
        <v>85</v>
      </c>
    </row>
    <row r="70" spans="1:11">
      <c r="A70" s="1" t="str">
        <f t="shared" si="4"/>
        <v/>
      </c>
      <c r="B70" s="1" t="str">
        <f t="shared" si="5"/>
        <v/>
      </c>
      <c r="C70" s="1" t="str">
        <f t="shared" si="6"/>
        <v/>
      </c>
      <c r="D70" s="1" t="str">
        <f t="shared" si="7"/>
        <v/>
      </c>
      <c r="G70" s="1" t="s">
        <v>126</v>
      </c>
      <c r="H70" s="1">
        <v>9</v>
      </c>
      <c r="I70" s="1" t="s">
        <v>32</v>
      </c>
      <c r="J70" s="13">
        <f t="shared" si="3"/>
        <v>9</v>
      </c>
      <c r="K70" s="1" t="s">
        <v>55</v>
      </c>
    </row>
    <row r="71" spans="1:11">
      <c r="A71" s="1" t="str">
        <f t="shared" si="4"/>
        <v/>
      </c>
      <c r="B71" s="1" t="str">
        <f t="shared" si="5"/>
        <v/>
      </c>
      <c r="C71" s="1" t="str">
        <f t="shared" si="6"/>
        <v/>
      </c>
      <c r="D71" s="1" t="str">
        <f t="shared" si="7"/>
        <v/>
      </c>
      <c r="G71" s="1" t="s">
        <v>81</v>
      </c>
      <c r="H71" s="1">
        <v>420.09</v>
      </c>
      <c r="I71" s="1" t="s">
        <v>32</v>
      </c>
      <c r="J71" s="13">
        <f t="shared" si="3"/>
        <v>420.09</v>
      </c>
      <c r="K71" s="1" t="s">
        <v>89</v>
      </c>
    </row>
    <row r="72" spans="1:11">
      <c r="A72" s="1" t="str">
        <f t="shared" si="4"/>
        <v/>
      </c>
      <c r="B72" s="1" t="str">
        <f t="shared" si="5"/>
        <v/>
      </c>
      <c r="C72" s="1" t="str">
        <f t="shared" si="6"/>
        <v/>
      </c>
      <c r="D72" s="1" t="str">
        <f t="shared" si="7"/>
        <v/>
      </c>
      <c r="G72" s="1" t="s">
        <v>442</v>
      </c>
      <c r="H72" s="1">
        <v>6.01</v>
      </c>
      <c r="I72" s="1" t="s">
        <v>32</v>
      </c>
      <c r="J72" s="13">
        <f t="shared" si="3"/>
        <v>6.01</v>
      </c>
      <c r="K72" s="1" t="s">
        <v>59</v>
      </c>
    </row>
    <row r="73" spans="1:11">
      <c r="A73" s="1" t="str">
        <f t="shared" si="4"/>
        <v/>
      </c>
      <c r="B73" s="1" t="str">
        <f t="shared" si="5"/>
        <v/>
      </c>
      <c r="C73" s="1" t="str">
        <f t="shared" si="6"/>
        <v/>
      </c>
      <c r="D73" s="1" t="str">
        <f t="shared" si="7"/>
        <v/>
      </c>
      <c r="G73" s="1" t="s">
        <v>0</v>
      </c>
      <c r="H73" s="1">
        <v>509.85</v>
      </c>
      <c r="I73" s="1" t="s">
        <v>32</v>
      </c>
      <c r="J73" s="13">
        <f t="shared" si="3"/>
        <v>509.85</v>
      </c>
      <c r="K73" s="1" t="s">
        <v>26</v>
      </c>
    </row>
    <row r="74" spans="1:11">
      <c r="A74" s="1" t="str">
        <f t="shared" si="4"/>
        <v/>
      </c>
      <c r="B74" s="1" t="str">
        <f t="shared" si="5"/>
        <v/>
      </c>
      <c r="C74" s="1" t="str">
        <f t="shared" si="6"/>
        <v/>
      </c>
      <c r="D74" s="1" t="str">
        <f t="shared" si="7"/>
        <v/>
      </c>
      <c r="G74" s="1" t="s">
        <v>112</v>
      </c>
      <c r="H74" s="1">
        <v>6.95</v>
      </c>
      <c r="I74" s="1" t="s">
        <v>32</v>
      </c>
      <c r="J74" s="13">
        <f t="shared" si="3"/>
        <v>6.95</v>
      </c>
      <c r="K74" s="1" t="s">
        <v>89</v>
      </c>
    </row>
    <row r="75" spans="1:11">
      <c r="A75" s="1" t="str">
        <f t="shared" si="4"/>
        <v/>
      </c>
      <c r="B75" s="1" t="str">
        <f t="shared" si="5"/>
        <v/>
      </c>
      <c r="C75" s="1" t="str">
        <f t="shared" si="6"/>
        <v/>
      </c>
      <c r="D75" s="1" t="str">
        <f t="shared" si="7"/>
        <v/>
      </c>
      <c r="G75" s="1" t="s">
        <v>87</v>
      </c>
      <c r="H75" s="1">
        <v>9.7799999999999994</v>
      </c>
      <c r="I75" s="1" t="s">
        <v>32</v>
      </c>
      <c r="J75" s="13">
        <f t="shared" si="3"/>
        <v>9.7799999999999994</v>
      </c>
      <c r="K75" s="1" t="s">
        <v>24</v>
      </c>
    </row>
    <row r="76" spans="1:11">
      <c r="A76" s="1" t="str">
        <f t="shared" si="4"/>
        <v/>
      </c>
      <c r="B76" s="1" t="str">
        <f t="shared" si="5"/>
        <v/>
      </c>
      <c r="C76" s="1" t="str">
        <f t="shared" si="6"/>
        <v/>
      </c>
      <c r="D76" s="1" t="str">
        <f t="shared" si="7"/>
        <v/>
      </c>
      <c r="G76" s="1" t="s">
        <v>87</v>
      </c>
      <c r="H76" s="1">
        <v>30.85</v>
      </c>
      <c r="I76" s="1" t="s">
        <v>32</v>
      </c>
      <c r="J76" s="13">
        <f t="shared" si="3"/>
        <v>30.85</v>
      </c>
      <c r="K76" s="1" t="s">
        <v>24</v>
      </c>
    </row>
    <row r="77" spans="1:11">
      <c r="A77" s="1" t="str">
        <f t="shared" si="4"/>
        <v/>
      </c>
      <c r="B77" s="1" t="str">
        <f t="shared" si="5"/>
        <v/>
      </c>
      <c r="C77" s="1" t="str">
        <f t="shared" si="6"/>
        <v/>
      </c>
      <c r="D77" s="1" t="str">
        <f t="shared" si="7"/>
        <v/>
      </c>
      <c r="G77" s="1" t="s">
        <v>247</v>
      </c>
      <c r="H77" s="1">
        <v>66.599999999999994</v>
      </c>
      <c r="I77" s="1" t="s">
        <v>32</v>
      </c>
      <c r="J77" s="13">
        <f t="shared" si="3"/>
        <v>66.599999999999994</v>
      </c>
      <c r="K77" s="1" t="s">
        <v>55</v>
      </c>
    </row>
    <row r="78" spans="1:11">
      <c r="A78" s="1" t="str">
        <f t="shared" si="4"/>
        <v/>
      </c>
      <c r="B78" s="1" t="str">
        <f t="shared" si="5"/>
        <v/>
      </c>
      <c r="C78" s="1" t="str">
        <f t="shared" si="6"/>
        <v/>
      </c>
      <c r="D78" s="1" t="str">
        <f t="shared" si="7"/>
        <v/>
      </c>
      <c r="G78" s="1" t="s">
        <v>86</v>
      </c>
      <c r="H78" s="1">
        <v>9.99</v>
      </c>
      <c r="I78" s="1" t="s">
        <v>32</v>
      </c>
      <c r="J78" s="13">
        <f t="shared" si="3"/>
        <v>9.99</v>
      </c>
      <c r="K78" s="1" t="s">
        <v>44</v>
      </c>
    </row>
    <row r="79" spans="1:11">
      <c r="A79" s="1" t="str">
        <f t="shared" si="4"/>
        <v/>
      </c>
      <c r="B79" s="1" t="str">
        <f t="shared" si="5"/>
        <v/>
      </c>
      <c r="C79" s="1" t="str">
        <f t="shared" si="6"/>
        <v/>
      </c>
      <c r="D79" s="1" t="str">
        <f t="shared" si="7"/>
        <v/>
      </c>
      <c r="G79" s="1" t="s">
        <v>115</v>
      </c>
      <c r="H79" s="1">
        <v>13</v>
      </c>
      <c r="I79" s="1" t="s">
        <v>32</v>
      </c>
      <c r="J79" s="13">
        <f t="shared" si="3"/>
        <v>13</v>
      </c>
      <c r="K79" s="1" t="s">
        <v>24</v>
      </c>
    </row>
    <row r="80" spans="1:11">
      <c r="A80" s="1" t="str">
        <f t="shared" si="4"/>
        <v/>
      </c>
      <c r="B80" s="1" t="str">
        <f t="shared" si="5"/>
        <v/>
      </c>
      <c r="C80" s="1" t="str">
        <f t="shared" si="6"/>
        <v/>
      </c>
      <c r="D80" s="1" t="str">
        <f t="shared" si="7"/>
        <v/>
      </c>
      <c r="G80" s="1" t="s">
        <v>112</v>
      </c>
      <c r="H80" s="1">
        <v>59.22</v>
      </c>
      <c r="I80" s="1" t="s">
        <v>32</v>
      </c>
      <c r="J80" s="13">
        <f t="shared" si="3"/>
        <v>59.22</v>
      </c>
      <c r="K80" s="1" t="s">
        <v>89</v>
      </c>
    </row>
    <row r="81" spans="1:11">
      <c r="A81" s="1" t="str">
        <f t="shared" si="4"/>
        <v/>
      </c>
      <c r="B81" s="1" t="str">
        <f t="shared" si="5"/>
        <v/>
      </c>
      <c r="C81" s="1" t="str">
        <f t="shared" si="6"/>
        <v/>
      </c>
      <c r="D81" s="1" t="str">
        <f t="shared" si="7"/>
        <v/>
      </c>
      <c r="G81" s="1" t="s">
        <v>443</v>
      </c>
      <c r="H81" s="1">
        <v>279</v>
      </c>
      <c r="I81" s="1" t="s">
        <v>32</v>
      </c>
      <c r="J81" s="13">
        <f t="shared" si="3"/>
        <v>279</v>
      </c>
      <c r="K81" s="1" t="s">
        <v>29</v>
      </c>
    </row>
    <row r="82" spans="1:11">
      <c r="A82" s="1" t="str">
        <f t="shared" si="4"/>
        <v/>
      </c>
      <c r="B82" s="1" t="str">
        <f t="shared" si="5"/>
        <v/>
      </c>
      <c r="C82" s="1" t="str">
        <f t="shared" si="6"/>
        <v/>
      </c>
      <c r="D82" s="1" t="str">
        <f t="shared" si="7"/>
        <v/>
      </c>
      <c r="G82" s="1" t="s">
        <v>62</v>
      </c>
      <c r="H82" s="1">
        <v>0.99</v>
      </c>
      <c r="I82" s="1" t="s">
        <v>32</v>
      </c>
      <c r="J82" s="13">
        <f t="shared" si="3"/>
        <v>0.99</v>
      </c>
      <c r="K82" s="1" t="s">
        <v>44</v>
      </c>
    </row>
    <row r="83" spans="1:11">
      <c r="A83" s="1" t="str">
        <f t="shared" si="4"/>
        <v/>
      </c>
      <c r="B83" s="1" t="str">
        <f t="shared" si="5"/>
        <v/>
      </c>
      <c r="C83" s="1" t="str">
        <f t="shared" si="6"/>
        <v/>
      </c>
      <c r="D83" s="1" t="str">
        <f t="shared" si="7"/>
        <v/>
      </c>
      <c r="G83" s="1" t="s">
        <v>87</v>
      </c>
      <c r="H83" s="1">
        <v>48.41</v>
      </c>
      <c r="I83" s="1" t="s">
        <v>32</v>
      </c>
      <c r="J83" s="13">
        <f t="shared" si="3"/>
        <v>48.41</v>
      </c>
      <c r="K83" s="1" t="s">
        <v>24</v>
      </c>
    </row>
    <row r="84" spans="1:11">
      <c r="A84" s="1" t="str">
        <f t="shared" si="4"/>
        <v/>
      </c>
      <c r="B84" s="1" t="str">
        <f t="shared" si="5"/>
        <v/>
      </c>
      <c r="C84" s="1" t="str">
        <f t="shared" si="6"/>
        <v/>
      </c>
      <c r="D84" s="1" t="str">
        <f t="shared" si="7"/>
        <v/>
      </c>
      <c r="G84" s="1" t="s">
        <v>444</v>
      </c>
      <c r="H84" s="1">
        <v>48.5</v>
      </c>
      <c r="I84" s="1" t="s">
        <v>32</v>
      </c>
      <c r="J84" s="13">
        <f t="shared" si="3"/>
        <v>48.5</v>
      </c>
      <c r="K84" s="1" t="s">
        <v>24</v>
      </c>
    </row>
    <row r="85" spans="1:11">
      <c r="A85" s="1" t="str">
        <f t="shared" si="4"/>
        <v/>
      </c>
      <c r="B85" s="1" t="str">
        <f t="shared" si="5"/>
        <v/>
      </c>
      <c r="C85" s="1" t="str">
        <f t="shared" si="6"/>
        <v/>
      </c>
      <c r="D85" s="1" t="str">
        <f t="shared" si="7"/>
        <v/>
      </c>
      <c r="G85" s="1" t="s">
        <v>346</v>
      </c>
      <c r="H85" s="1">
        <v>8.5299999999999994</v>
      </c>
      <c r="I85" s="1" t="s">
        <v>32</v>
      </c>
      <c r="J85" s="13">
        <f t="shared" si="3"/>
        <v>8.5299999999999994</v>
      </c>
      <c r="K85" s="1" t="s">
        <v>24</v>
      </c>
    </row>
    <row r="86" spans="1:11">
      <c r="A86" s="1" t="str">
        <f t="shared" si="4"/>
        <v/>
      </c>
      <c r="B86" s="1" t="str">
        <f t="shared" si="5"/>
        <v/>
      </c>
      <c r="C86" s="1" t="str">
        <f t="shared" si="6"/>
        <v/>
      </c>
      <c r="D86" s="1" t="str">
        <f t="shared" si="7"/>
        <v/>
      </c>
      <c r="G86" s="14" t="s">
        <v>382</v>
      </c>
      <c r="H86" s="1">
        <v>50.55</v>
      </c>
      <c r="I86" s="1" t="s">
        <v>32</v>
      </c>
      <c r="J86" s="13">
        <f t="shared" si="3"/>
        <v>50.55</v>
      </c>
      <c r="K86" s="1" t="s">
        <v>29</v>
      </c>
    </row>
    <row r="87" spans="1:11">
      <c r="A87" s="1" t="str">
        <f t="shared" si="4"/>
        <v/>
      </c>
      <c r="B87" s="1" t="str">
        <f t="shared" si="5"/>
        <v/>
      </c>
      <c r="C87" s="1" t="str">
        <f t="shared" si="6"/>
        <v/>
      </c>
      <c r="D87" s="1" t="str">
        <f t="shared" si="7"/>
        <v/>
      </c>
      <c r="G87" s="1" t="s">
        <v>445</v>
      </c>
      <c r="H87" s="1">
        <v>85</v>
      </c>
      <c r="I87" s="1" t="s">
        <v>32</v>
      </c>
      <c r="J87" s="13">
        <f t="shared" si="3"/>
        <v>85</v>
      </c>
      <c r="K87" s="1" t="s">
        <v>83</v>
      </c>
    </row>
    <row r="88" spans="1:11">
      <c r="A88" s="1" t="str">
        <f t="shared" si="4"/>
        <v/>
      </c>
      <c r="B88" s="1" t="str">
        <f t="shared" si="5"/>
        <v/>
      </c>
      <c r="C88" s="1" t="str">
        <f t="shared" si="6"/>
        <v/>
      </c>
      <c r="D88" s="1" t="str">
        <f t="shared" si="7"/>
        <v/>
      </c>
      <c r="G88" s="1" t="s">
        <v>84</v>
      </c>
      <c r="H88" s="1">
        <v>130.55000000000001</v>
      </c>
      <c r="I88" s="1" t="s">
        <v>32</v>
      </c>
      <c r="J88" s="13">
        <f t="shared" si="3"/>
        <v>130.55000000000001</v>
      </c>
      <c r="K88" s="1" t="s">
        <v>85</v>
      </c>
    </row>
    <row r="89" spans="1:11">
      <c r="A89" s="1" t="str">
        <f t="shared" si="4"/>
        <v/>
      </c>
      <c r="B89" s="1" t="str">
        <f t="shared" si="5"/>
        <v/>
      </c>
      <c r="C89" s="1" t="str">
        <f t="shared" si="6"/>
        <v/>
      </c>
      <c r="D89" s="1" t="str">
        <f t="shared" si="7"/>
        <v/>
      </c>
      <c r="G89" s="1" t="s">
        <v>446</v>
      </c>
      <c r="H89" s="1">
        <v>94.8</v>
      </c>
      <c r="I89" s="1" t="s">
        <v>32</v>
      </c>
      <c r="J89" s="13">
        <f t="shared" si="3"/>
        <v>94.8</v>
      </c>
      <c r="K89" s="1" t="s">
        <v>29</v>
      </c>
    </row>
    <row r="90" spans="1:11">
      <c r="A90" s="1" t="str">
        <f t="shared" si="4"/>
        <v/>
      </c>
      <c r="B90" s="1" t="str">
        <f t="shared" si="5"/>
        <v/>
      </c>
      <c r="C90" s="1" t="str">
        <f t="shared" si="6"/>
        <v/>
      </c>
      <c r="D90" s="1" t="str">
        <f t="shared" si="7"/>
        <v/>
      </c>
      <c r="G90" s="1" t="s">
        <v>126</v>
      </c>
      <c r="H90" s="1">
        <v>9</v>
      </c>
      <c r="I90" s="1" t="s">
        <v>32</v>
      </c>
      <c r="J90" s="13">
        <f t="shared" si="3"/>
        <v>9</v>
      </c>
      <c r="K90" s="1" t="s">
        <v>55</v>
      </c>
    </row>
    <row r="91" spans="1:11">
      <c r="A91" s="1" t="str">
        <f t="shared" si="4"/>
        <v/>
      </c>
      <c r="B91" s="1" t="str">
        <f t="shared" si="5"/>
        <v/>
      </c>
      <c r="C91" s="1" t="str">
        <f t="shared" si="6"/>
        <v/>
      </c>
      <c r="D91" s="1" t="str">
        <f t="shared" si="7"/>
        <v/>
      </c>
      <c r="G91" s="1" t="s">
        <v>126</v>
      </c>
      <c r="H91" s="1">
        <v>9</v>
      </c>
      <c r="I91" s="1" t="s">
        <v>32</v>
      </c>
      <c r="J91" s="13">
        <f t="shared" si="3"/>
        <v>9</v>
      </c>
      <c r="K91" s="1" t="s">
        <v>55</v>
      </c>
    </row>
    <row r="92" spans="1:11">
      <c r="A92" s="1" t="str">
        <f t="shared" si="4"/>
        <v/>
      </c>
      <c r="B92" s="1" t="str">
        <f t="shared" si="5"/>
        <v/>
      </c>
      <c r="C92" s="1" t="str">
        <f t="shared" si="6"/>
        <v/>
      </c>
      <c r="D92" s="1" t="str">
        <f t="shared" si="7"/>
        <v/>
      </c>
      <c r="G92" s="1" t="s">
        <v>87</v>
      </c>
      <c r="H92" s="1">
        <v>85.38</v>
      </c>
      <c r="I92" s="1" t="s">
        <v>32</v>
      </c>
      <c r="J92" s="13">
        <f t="shared" si="3"/>
        <v>85.38</v>
      </c>
      <c r="K92" s="1" t="s">
        <v>24</v>
      </c>
    </row>
    <row r="93" spans="1:11">
      <c r="A93" s="1" t="str">
        <f t="shared" si="4"/>
        <v/>
      </c>
      <c r="B93" s="1" t="str">
        <f t="shared" si="5"/>
        <v/>
      </c>
      <c r="C93" s="1" t="str">
        <f t="shared" si="6"/>
        <v/>
      </c>
      <c r="D93" s="1" t="str">
        <f t="shared" si="7"/>
        <v/>
      </c>
      <c r="G93" s="1" t="s">
        <v>87</v>
      </c>
      <c r="H93" s="1">
        <v>26.29</v>
      </c>
      <c r="I93" s="1" t="s">
        <v>32</v>
      </c>
      <c r="J93" s="13">
        <f t="shared" si="3"/>
        <v>26.29</v>
      </c>
      <c r="K93" s="1" t="s">
        <v>24</v>
      </c>
    </row>
    <row r="94" spans="1:11">
      <c r="A94" s="1" t="str">
        <f t="shared" si="4"/>
        <v/>
      </c>
      <c r="B94" s="1" t="str">
        <f t="shared" si="5"/>
        <v/>
      </c>
      <c r="C94" s="1" t="str">
        <f t="shared" si="6"/>
        <v/>
      </c>
      <c r="D94" s="1" t="str">
        <f t="shared" si="7"/>
        <v/>
      </c>
      <c r="G94" s="1" t="s">
        <v>209</v>
      </c>
      <c r="H94" s="1">
        <v>47.01</v>
      </c>
      <c r="I94" s="1" t="s">
        <v>32</v>
      </c>
      <c r="J94" s="13">
        <f t="shared" si="3"/>
        <v>47.01</v>
      </c>
      <c r="K94" s="1" t="s">
        <v>59</v>
      </c>
    </row>
    <row r="95" spans="1:11">
      <c r="A95" s="1" t="str">
        <f t="shared" si="4"/>
        <v/>
      </c>
      <c r="B95" s="1" t="str">
        <f t="shared" si="5"/>
        <v/>
      </c>
      <c r="C95" s="1" t="str">
        <f t="shared" si="6"/>
        <v/>
      </c>
      <c r="D95" s="1" t="str">
        <f t="shared" si="7"/>
        <v/>
      </c>
      <c r="G95" s="1" t="s">
        <v>447</v>
      </c>
      <c r="H95" s="1">
        <v>19.2</v>
      </c>
      <c r="I95" s="1" t="s">
        <v>32</v>
      </c>
      <c r="J95" s="13">
        <f t="shared" si="3"/>
        <v>19.2</v>
      </c>
      <c r="K95" s="1" t="s">
        <v>98</v>
      </c>
    </row>
    <row r="96" spans="1:11">
      <c r="A96" s="1" t="str">
        <f t="shared" si="4"/>
        <v/>
      </c>
      <c r="B96" s="1" t="str">
        <f t="shared" si="5"/>
        <v/>
      </c>
      <c r="C96" s="1" t="str">
        <f t="shared" si="6"/>
        <v/>
      </c>
      <c r="D96" s="1" t="str">
        <f t="shared" si="7"/>
        <v/>
      </c>
      <c r="G96" s="1" t="s">
        <v>200</v>
      </c>
      <c r="H96" s="1">
        <v>120</v>
      </c>
      <c r="I96" s="1" t="s">
        <v>32</v>
      </c>
      <c r="J96" s="13">
        <f t="shared" si="3"/>
        <v>120</v>
      </c>
      <c r="K96" s="1" t="s">
        <v>26</v>
      </c>
    </row>
    <row r="97" spans="1:11">
      <c r="A97" s="1" t="str">
        <f t="shared" si="4"/>
        <v/>
      </c>
      <c r="B97" s="1" t="str">
        <f t="shared" si="5"/>
        <v/>
      </c>
      <c r="C97" s="1" t="str">
        <f t="shared" si="6"/>
        <v/>
      </c>
      <c r="D97" s="1" t="str">
        <f t="shared" si="7"/>
        <v/>
      </c>
      <c r="G97" s="1" t="s">
        <v>87</v>
      </c>
      <c r="H97" s="1">
        <v>4.68</v>
      </c>
      <c r="I97" s="1" t="s">
        <v>32</v>
      </c>
      <c r="J97" s="13">
        <f t="shared" si="3"/>
        <v>4.68</v>
      </c>
      <c r="K97" s="1" t="s">
        <v>24</v>
      </c>
    </row>
    <row r="98" spans="1:11">
      <c r="A98" s="1" t="str">
        <f t="shared" si="4"/>
        <v/>
      </c>
      <c r="B98" s="1" t="str">
        <f t="shared" si="5"/>
        <v/>
      </c>
      <c r="C98" s="1" t="str">
        <f t="shared" si="6"/>
        <v/>
      </c>
      <c r="D98" s="1" t="str">
        <f t="shared" si="7"/>
        <v/>
      </c>
      <c r="G98" s="1" t="s">
        <v>81</v>
      </c>
      <c r="H98" s="1">
        <v>45.98</v>
      </c>
      <c r="I98" s="1" t="s">
        <v>32</v>
      </c>
      <c r="J98" s="13">
        <f t="shared" si="3"/>
        <v>45.98</v>
      </c>
      <c r="K98" s="1" t="s">
        <v>89</v>
      </c>
    </row>
    <row r="99" spans="1:11">
      <c r="A99" s="1" t="str">
        <f t="shared" si="4"/>
        <v/>
      </c>
      <c r="B99" s="1" t="str">
        <f t="shared" si="5"/>
        <v/>
      </c>
      <c r="C99" s="1" t="str">
        <f t="shared" si="6"/>
        <v/>
      </c>
      <c r="D99" s="1" t="str">
        <f t="shared" si="7"/>
        <v/>
      </c>
      <c r="G99" s="1" t="s">
        <v>81</v>
      </c>
      <c r="H99" s="1">
        <v>106.39</v>
      </c>
      <c r="I99" s="1" t="s">
        <v>32</v>
      </c>
      <c r="J99" s="13">
        <f t="shared" si="3"/>
        <v>106.39</v>
      </c>
      <c r="K99" s="1" t="s">
        <v>89</v>
      </c>
    </row>
    <row r="100" spans="1:11">
      <c r="A100" s="1" t="str">
        <f t="shared" si="4"/>
        <v/>
      </c>
      <c r="B100" s="1" t="str">
        <f t="shared" si="5"/>
        <v/>
      </c>
      <c r="C100" s="1" t="str">
        <f t="shared" si="6"/>
        <v/>
      </c>
      <c r="D100" s="1" t="str">
        <f t="shared" si="7"/>
        <v/>
      </c>
      <c r="G100" s="1" t="s">
        <v>87</v>
      </c>
      <c r="H100" s="1">
        <v>25.01</v>
      </c>
      <c r="I100" s="1" t="s">
        <v>32</v>
      </c>
      <c r="J100" s="13">
        <f t="shared" si="3"/>
        <v>25.01</v>
      </c>
      <c r="K100" s="1" t="s">
        <v>24</v>
      </c>
    </row>
    <row r="101" spans="1:11">
      <c r="A101" s="1" t="str">
        <f t="shared" si="4"/>
        <v/>
      </c>
      <c r="B101" s="1" t="str">
        <f t="shared" si="5"/>
        <v/>
      </c>
      <c r="C101" s="1" t="str">
        <f t="shared" si="6"/>
        <v/>
      </c>
      <c r="D101" s="1" t="str">
        <f t="shared" si="7"/>
        <v/>
      </c>
      <c r="G101" s="1" t="s">
        <v>448</v>
      </c>
      <c r="H101" s="1">
        <v>49.85</v>
      </c>
      <c r="I101" s="1" t="s">
        <v>32</v>
      </c>
      <c r="J101" s="13">
        <f t="shared" si="3"/>
        <v>49.85</v>
      </c>
      <c r="K101" s="1" t="s">
        <v>89</v>
      </c>
    </row>
    <row r="102" spans="1:11">
      <c r="A102" s="1" t="str">
        <f t="shared" si="4"/>
        <v/>
      </c>
      <c r="B102" s="1" t="str">
        <f t="shared" si="5"/>
        <v/>
      </c>
      <c r="C102" s="1" t="str">
        <f t="shared" si="6"/>
        <v/>
      </c>
      <c r="D102" s="1" t="str">
        <f t="shared" si="7"/>
        <v/>
      </c>
      <c r="G102" s="1" t="s">
        <v>448</v>
      </c>
      <c r="H102" s="1">
        <v>59.85</v>
      </c>
      <c r="I102" s="1" t="s">
        <v>32</v>
      </c>
      <c r="J102" s="13">
        <f t="shared" si="3"/>
        <v>59.85</v>
      </c>
      <c r="K102" s="1" t="s">
        <v>89</v>
      </c>
    </row>
    <row r="103" spans="1:11">
      <c r="A103" s="1" t="str">
        <f t="shared" si="4"/>
        <v/>
      </c>
      <c r="B103" s="1" t="str">
        <f t="shared" si="5"/>
        <v/>
      </c>
      <c r="C103" s="1" t="str">
        <f t="shared" si="6"/>
        <v/>
      </c>
      <c r="D103" s="1" t="str">
        <f t="shared" si="7"/>
        <v/>
      </c>
      <c r="G103" s="1" t="s">
        <v>449</v>
      </c>
      <c r="H103" s="1">
        <v>576.99</v>
      </c>
      <c r="I103" s="1" t="s">
        <v>32</v>
      </c>
      <c r="J103" s="13">
        <f t="shared" si="3"/>
        <v>576.99</v>
      </c>
      <c r="K103" s="1" t="s">
        <v>44</v>
      </c>
    </row>
    <row r="104" spans="1:11">
      <c r="A104" s="1" t="str">
        <f t="shared" si="4"/>
        <v/>
      </c>
      <c r="B104" s="1" t="str">
        <f t="shared" si="5"/>
        <v/>
      </c>
      <c r="C104" s="1" t="str">
        <f t="shared" si="6"/>
        <v/>
      </c>
      <c r="D104" s="1" t="str">
        <f t="shared" si="7"/>
        <v/>
      </c>
      <c r="G104" s="1" t="s">
        <v>351</v>
      </c>
      <c r="H104" s="1">
        <v>18.350000000000001</v>
      </c>
      <c r="I104" s="1" t="s">
        <v>32</v>
      </c>
      <c r="J104" s="13">
        <f t="shared" si="3"/>
        <v>18.350000000000001</v>
      </c>
      <c r="K104" s="1" t="s">
        <v>24</v>
      </c>
    </row>
    <row r="105" spans="1:11">
      <c r="A105" s="1" t="str">
        <f t="shared" si="4"/>
        <v/>
      </c>
      <c r="B105" s="1" t="str">
        <f t="shared" si="5"/>
        <v/>
      </c>
      <c r="C105" s="1" t="str">
        <f t="shared" si="6"/>
        <v/>
      </c>
      <c r="D105" s="1" t="str">
        <f t="shared" si="7"/>
        <v/>
      </c>
      <c r="G105" s="1" t="s">
        <v>126</v>
      </c>
      <c r="H105" s="1">
        <v>9</v>
      </c>
      <c r="I105" s="1" t="s">
        <v>32</v>
      </c>
      <c r="J105" s="13">
        <f t="shared" si="3"/>
        <v>9</v>
      </c>
      <c r="K105" s="1" t="s">
        <v>55</v>
      </c>
    </row>
    <row r="106" spans="1:11">
      <c r="A106" s="1" t="str">
        <f t="shared" si="4"/>
        <v/>
      </c>
      <c r="B106" s="1" t="str">
        <f t="shared" si="5"/>
        <v/>
      </c>
      <c r="C106" s="1" t="str">
        <f t="shared" si="6"/>
        <v/>
      </c>
      <c r="D106" s="1" t="str">
        <f t="shared" si="7"/>
        <v/>
      </c>
      <c r="G106" s="1" t="s">
        <v>450</v>
      </c>
      <c r="H106" s="1">
        <v>51.59</v>
      </c>
      <c r="I106" s="1" t="s">
        <v>32</v>
      </c>
      <c r="J106" s="13">
        <f t="shared" si="3"/>
        <v>51.59</v>
      </c>
      <c r="K106" s="1" t="s">
        <v>44</v>
      </c>
    </row>
    <row r="107" spans="1:11">
      <c r="A107" s="1" t="str">
        <f t="shared" si="4"/>
        <v/>
      </c>
      <c r="B107" s="1" t="str">
        <f t="shared" si="5"/>
        <v/>
      </c>
      <c r="C107" s="1" t="str">
        <f t="shared" si="6"/>
        <v/>
      </c>
      <c r="D107" s="1" t="str">
        <f t="shared" si="7"/>
        <v/>
      </c>
      <c r="G107" s="1" t="s">
        <v>126</v>
      </c>
      <c r="H107" s="1">
        <v>9</v>
      </c>
      <c r="I107" s="1" t="s">
        <v>32</v>
      </c>
      <c r="J107" s="13">
        <f t="shared" si="3"/>
        <v>9</v>
      </c>
      <c r="K107" s="1" t="s">
        <v>55</v>
      </c>
    </row>
    <row r="108" spans="1:11">
      <c r="A108" s="1" t="str">
        <f t="shared" si="4"/>
        <v/>
      </c>
      <c r="B108" s="1" t="str">
        <f t="shared" si="5"/>
        <v/>
      </c>
      <c r="C108" s="1" t="str">
        <f t="shared" si="6"/>
        <v/>
      </c>
      <c r="D108" s="1" t="str">
        <f t="shared" si="7"/>
        <v/>
      </c>
      <c r="G108" s="1" t="s">
        <v>451</v>
      </c>
      <c r="H108" s="1">
        <v>50</v>
      </c>
      <c r="I108" s="1" t="s">
        <v>32</v>
      </c>
      <c r="J108" s="13">
        <f t="shared" si="3"/>
        <v>50</v>
      </c>
      <c r="K108" s="1" t="s">
        <v>85</v>
      </c>
    </row>
    <row r="109" spans="1:11">
      <c r="A109" s="1" t="str">
        <f t="shared" si="4"/>
        <v/>
      </c>
      <c r="B109" s="1" t="str">
        <f t="shared" si="5"/>
        <v/>
      </c>
      <c r="C109" s="1" t="str">
        <f t="shared" si="6"/>
        <v/>
      </c>
      <c r="D109" s="1" t="str">
        <f t="shared" si="7"/>
        <v/>
      </c>
      <c r="G109" s="1" t="s">
        <v>452</v>
      </c>
      <c r="H109" s="1">
        <v>0.7</v>
      </c>
      <c r="I109" s="1" t="s">
        <v>32</v>
      </c>
      <c r="J109" s="13">
        <f t="shared" si="3"/>
        <v>0.7</v>
      </c>
      <c r="K109" s="1" t="s">
        <v>59</v>
      </c>
    </row>
    <row r="110" spans="1:11">
      <c r="A110" s="1" t="str">
        <f t="shared" si="4"/>
        <v/>
      </c>
      <c r="B110" s="1" t="str">
        <f t="shared" si="5"/>
        <v/>
      </c>
      <c r="C110" s="1" t="str">
        <f t="shared" si="6"/>
        <v/>
      </c>
      <c r="D110" s="1" t="str">
        <f t="shared" si="7"/>
        <v/>
      </c>
      <c r="G110" s="1" t="s">
        <v>452</v>
      </c>
      <c r="H110" s="1">
        <v>3.5</v>
      </c>
      <c r="I110" s="1" t="s">
        <v>32</v>
      </c>
      <c r="J110" s="13">
        <f t="shared" si="3"/>
        <v>3.5</v>
      </c>
      <c r="K110" s="1" t="s">
        <v>59</v>
      </c>
    </row>
    <row r="111" spans="1:11">
      <c r="A111" s="1" t="str">
        <f t="shared" si="4"/>
        <v/>
      </c>
      <c r="B111" s="1" t="str">
        <f t="shared" si="5"/>
        <v/>
      </c>
      <c r="C111" s="1" t="str">
        <f t="shared" si="6"/>
        <v/>
      </c>
      <c r="D111" s="1" t="str">
        <f t="shared" si="7"/>
        <v/>
      </c>
      <c r="G111" s="1" t="s">
        <v>453</v>
      </c>
      <c r="H111" s="1">
        <v>28</v>
      </c>
      <c r="I111" s="1" t="s">
        <v>32</v>
      </c>
      <c r="J111" s="13">
        <f t="shared" si="3"/>
        <v>28</v>
      </c>
      <c r="K111" s="1" t="s">
        <v>98</v>
      </c>
    </row>
    <row r="112" spans="1:11">
      <c r="A112" s="1" t="str">
        <f t="shared" si="4"/>
        <v/>
      </c>
      <c r="B112" s="1" t="str">
        <f t="shared" si="5"/>
        <v/>
      </c>
      <c r="C112" s="1" t="str">
        <f t="shared" si="6"/>
        <v/>
      </c>
      <c r="D112" s="1" t="str">
        <f t="shared" si="7"/>
        <v/>
      </c>
      <c r="G112" s="1" t="s">
        <v>453</v>
      </c>
      <c r="H112" s="1">
        <v>56</v>
      </c>
      <c r="I112" s="1" t="s">
        <v>32</v>
      </c>
      <c r="J112" s="13">
        <f t="shared" si="3"/>
        <v>56</v>
      </c>
      <c r="K112" s="1" t="s">
        <v>98</v>
      </c>
    </row>
    <row r="113" spans="1:11">
      <c r="A113" s="1" t="str">
        <f t="shared" si="4"/>
        <v/>
      </c>
      <c r="B113" s="1" t="str">
        <f t="shared" si="5"/>
        <v/>
      </c>
      <c r="C113" s="1" t="str">
        <f t="shared" si="6"/>
        <v/>
      </c>
      <c r="D113" s="1" t="str">
        <f t="shared" si="7"/>
        <v/>
      </c>
      <c r="G113" s="1" t="s">
        <v>145</v>
      </c>
      <c r="H113" s="1">
        <v>140</v>
      </c>
      <c r="I113" s="1" t="s">
        <v>32</v>
      </c>
      <c r="J113" s="13">
        <f t="shared" si="3"/>
        <v>140</v>
      </c>
      <c r="K113" s="1" t="s">
        <v>85</v>
      </c>
    </row>
    <row r="114" spans="1:11">
      <c r="A114" s="1" t="str">
        <f t="shared" si="4"/>
        <v/>
      </c>
      <c r="B114" s="1" t="str">
        <f t="shared" si="5"/>
        <v/>
      </c>
      <c r="C114" s="1" t="str">
        <f t="shared" si="6"/>
        <v/>
      </c>
      <c r="D114" s="1" t="str">
        <f t="shared" si="7"/>
        <v/>
      </c>
      <c r="G114" s="1" t="s">
        <v>87</v>
      </c>
      <c r="H114" s="1">
        <v>21.47</v>
      </c>
      <c r="I114" s="1" t="s">
        <v>32</v>
      </c>
      <c r="J114" s="13">
        <f t="shared" si="3"/>
        <v>21.47</v>
      </c>
      <c r="K114" s="1" t="s">
        <v>24</v>
      </c>
    </row>
    <row r="115" spans="1:11">
      <c r="A115" s="1" t="str">
        <f t="shared" si="4"/>
        <v/>
      </c>
      <c r="B115" s="1" t="str">
        <f t="shared" si="5"/>
        <v/>
      </c>
      <c r="C115" s="1" t="str">
        <f t="shared" si="6"/>
        <v/>
      </c>
      <c r="D115" s="1" t="str">
        <f t="shared" si="7"/>
        <v/>
      </c>
      <c r="G115" s="1" t="s">
        <v>87</v>
      </c>
      <c r="H115" s="1">
        <v>7.14</v>
      </c>
      <c r="I115" s="1" t="s">
        <v>32</v>
      </c>
      <c r="J115" s="13">
        <f t="shared" si="3"/>
        <v>7.14</v>
      </c>
      <c r="K115" s="1" t="s">
        <v>24</v>
      </c>
    </row>
    <row r="116" spans="1:11">
      <c r="A116" s="1" t="str">
        <f t="shared" si="4"/>
        <v/>
      </c>
      <c r="B116" s="1" t="str">
        <f t="shared" si="5"/>
        <v/>
      </c>
      <c r="C116" s="1" t="str">
        <f t="shared" si="6"/>
        <v/>
      </c>
      <c r="D116" s="1" t="str">
        <f t="shared" si="7"/>
        <v/>
      </c>
      <c r="G116" s="1" t="s">
        <v>115</v>
      </c>
      <c r="H116" s="1">
        <v>13</v>
      </c>
      <c r="I116" s="1" t="s">
        <v>32</v>
      </c>
      <c r="J116" s="13">
        <f t="shared" si="3"/>
        <v>13</v>
      </c>
      <c r="K116" s="1" t="s">
        <v>59</v>
      </c>
    </row>
    <row r="117" spans="1:11">
      <c r="A117" s="1" t="str">
        <f t="shared" si="4"/>
        <v/>
      </c>
      <c r="B117" s="1" t="str">
        <f t="shared" si="5"/>
        <v/>
      </c>
      <c r="C117" s="1" t="str">
        <f t="shared" si="6"/>
        <v/>
      </c>
      <c r="D117" s="1" t="str">
        <f t="shared" si="7"/>
        <v/>
      </c>
      <c r="G117" s="1" t="s">
        <v>87</v>
      </c>
      <c r="H117" s="1">
        <v>41.34</v>
      </c>
      <c r="I117" s="1" t="s">
        <v>32</v>
      </c>
      <c r="J117" s="13">
        <f t="shared" si="3"/>
        <v>41.34</v>
      </c>
      <c r="K117" s="1" t="s">
        <v>24</v>
      </c>
    </row>
    <row r="118" spans="1:11">
      <c r="A118" s="1" t="str">
        <f t="shared" si="4"/>
        <v/>
      </c>
      <c r="B118" s="1" t="str">
        <f t="shared" si="5"/>
        <v/>
      </c>
      <c r="C118" s="1" t="str">
        <f t="shared" si="6"/>
        <v/>
      </c>
      <c r="D118" s="1" t="str">
        <f t="shared" si="7"/>
        <v/>
      </c>
      <c r="G118" s="1" t="s">
        <v>87</v>
      </c>
      <c r="H118" s="1">
        <v>42.92</v>
      </c>
      <c r="I118" s="1" t="s">
        <v>32</v>
      </c>
      <c r="J118" s="13">
        <f t="shared" si="3"/>
        <v>42.92</v>
      </c>
      <c r="K118" s="1" t="s">
        <v>24</v>
      </c>
    </row>
    <row r="119" spans="1:11">
      <c r="A119" s="1" t="str">
        <f t="shared" si="4"/>
        <v/>
      </c>
      <c r="B119" s="1" t="str">
        <f t="shared" si="5"/>
        <v/>
      </c>
      <c r="C119" s="1" t="str">
        <f t="shared" si="6"/>
        <v/>
      </c>
      <c r="D119" s="1" t="str">
        <f t="shared" si="7"/>
        <v/>
      </c>
      <c r="G119" s="1" t="s">
        <v>200</v>
      </c>
      <c r="H119" s="1">
        <v>315.39999999999998</v>
      </c>
      <c r="I119" s="1" t="s">
        <v>32</v>
      </c>
      <c r="J119" s="13">
        <f t="shared" si="3"/>
        <v>315.39999999999998</v>
      </c>
      <c r="K119" s="1" t="s">
        <v>26</v>
      </c>
    </row>
    <row r="120" spans="1:11">
      <c r="A120" s="1" t="str">
        <f t="shared" si="4"/>
        <v>Reste prévu</v>
      </c>
      <c r="B120" s="1" t="e">
        <f t="shared" si="5"/>
        <v>#REF!</v>
      </c>
      <c r="C120" s="1" t="str">
        <f t="shared" si="6"/>
        <v>Reste réel</v>
      </c>
      <c r="D120" s="1" t="e">
        <f t="shared" si="7"/>
        <v>#REF!</v>
      </c>
      <c r="J120" s="13">
        <f t="shared" si="3"/>
        <v>0</v>
      </c>
      <c r="K120" s="1" t="s">
        <v>25</v>
      </c>
    </row>
    <row r="121" spans="1:11">
      <c r="A121" s="1" t="str">
        <f t="shared" si="4"/>
        <v/>
      </c>
      <c r="B121" s="1" t="str">
        <f t="shared" si="5"/>
        <v/>
      </c>
      <c r="C121" s="1" t="str">
        <f t="shared" si="6"/>
        <v/>
      </c>
      <c r="D121" s="1" t="str">
        <f t="shared" si="7"/>
        <v/>
      </c>
      <c r="J121" s="13">
        <f t="shared" si="3"/>
        <v>0</v>
      </c>
      <c r="K121" s="1" t="s">
        <v>89</v>
      </c>
    </row>
    <row r="122" spans="1:11">
      <c r="A122" s="1" t="str">
        <f t="shared" si="4"/>
        <v/>
      </c>
      <c r="B122" s="1" t="str">
        <f t="shared" si="5"/>
        <v/>
      </c>
      <c r="C122" s="1" t="str">
        <f t="shared" si="6"/>
        <v/>
      </c>
      <c r="D122" s="1" t="str">
        <f t="shared" si="7"/>
        <v/>
      </c>
      <c r="J122" s="13">
        <f t="shared" si="3"/>
        <v>0</v>
      </c>
      <c r="K122" s="1" t="s">
        <v>89</v>
      </c>
    </row>
    <row r="123" spans="1:11">
      <c r="A123" s="1" t="str">
        <f t="shared" si="4"/>
        <v/>
      </c>
      <c r="B123" s="1" t="str">
        <f t="shared" si="5"/>
        <v/>
      </c>
      <c r="C123" s="1" t="str">
        <f t="shared" si="6"/>
        <v/>
      </c>
      <c r="D123" s="1" t="str">
        <f t="shared" si="7"/>
        <v/>
      </c>
      <c r="J123" s="13">
        <f t="shared" si="3"/>
        <v>0</v>
      </c>
      <c r="K123" s="1" t="s">
        <v>24</v>
      </c>
    </row>
    <row r="124" spans="1:11">
      <c r="A124" s="1" t="str">
        <f t="shared" si="4"/>
        <v/>
      </c>
      <c r="B124" s="1" t="str">
        <f t="shared" si="5"/>
        <v/>
      </c>
      <c r="C124" s="1" t="str">
        <f t="shared" si="6"/>
        <v/>
      </c>
      <c r="D124" s="1" t="str">
        <f t="shared" si="7"/>
        <v/>
      </c>
      <c r="J124" s="13">
        <f t="shared" si="3"/>
        <v>0</v>
      </c>
      <c r="K124" s="1" t="s">
        <v>24</v>
      </c>
    </row>
    <row r="125" spans="1:11">
      <c r="A125" s="1" t="str">
        <f t="shared" si="4"/>
        <v/>
      </c>
      <c r="B125" s="1" t="str">
        <f t="shared" si="5"/>
        <v/>
      </c>
      <c r="C125" s="1" t="str">
        <f t="shared" si="6"/>
        <v/>
      </c>
      <c r="D125" s="1" t="str">
        <f t="shared" si="7"/>
        <v/>
      </c>
      <c r="J125" s="13">
        <f t="shared" si="3"/>
        <v>0</v>
      </c>
      <c r="K125" s="1" t="s">
        <v>55</v>
      </c>
    </row>
    <row r="126" spans="1:11">
      <c r="A126" s="1" t="str">
        <f t="shared" si="4"/>
        <v/>
      </c>
      <c r="B126" s="1" t="str">
        <f t="shared" si="5"/>
        <v/>
      </c>
      <c r="C126" s="1" t="str">
        <f t="shared" si="6"/>
        <v/>
      </c>
      <c r="D126" s="1" t="str">
        <f t="shared" si="7"/>
        <v/>
      </c>
      <c r="J126" s="13">
        <f t="shared" si="3"/>
        <v>0</v>
      </c>
      <c r="K126" s="1" t="s">
        <v>89</v>
      </c>
    </row>
    <row r="127" spans="1:11">
      <c r="A127" s="1" t="str">
        <f t="shared" si="4"/>
        <v/>
      </c>
      <c r="B127" s="1" t="str">
        <f t="shared" si="5"/>
        <v/>
      </c>
      <c r="C127" s="1" t="str">
        <f t="shared" si="6"/>
        <v/>
      </c>
      <c r="D127" s="1" t="str">
        <f t="shared" si="7"/>
        <v/>
      </c>
      <c r="J127" s="13">
        <f t="shared" si="3"/>
        <v>0</v>
      </c>
      <c r="K127" s="1" t="s">
        <v>29</v>
      </c>
    </row>
    <row r="128" spans="1:11">
      <c r="A128" s="1" t="str">
        <f t="shared" si="4"/>
        <v/>
      </c>
      <c r="B128" s="1" t="str">
        <f t="shared" si="5"/>
        <v/>
      </c>
      <c r="C128" s="1" t="str">
        <f t="shared" si="6"/>
        <v/>
      </c>
      <c r="D128" s="1" t="str">
        <f t="shared" si="7"/>
        <v/>
      </c>
      <c r="J128" s="13">
        <f t="shared" si="3"/>
        <v>0</v>
      </c>
      <c r="K128" s="1" t="s">
        <v>59</v>
      </c>
    </row>
    <row r="129" spans="1:11">
      <c r="A129" s="1" t="str">
        <f t="shared" si="4"/>
        <v/>
      </c>
      <c r="B129" s="1" t="str">
        <f t="shared" si="5"/>
        <v/>
      </c>
      <c r="C129" s="1" t="str">
        <f t="shared" si="6"/>
        <v/>
      </c>
      <c r="D129" s="1" t="str">
        <f t="shared" si="7"/>
        <v/>
      </c>
      <c r="J129" s="13">
        <f t="shared" si="3"/>
        <v>0</v>
      </c>
      <c r="K129" s="1" t="s">
        <v>25</v>
      </c>
    </row>
    <row r="130" spans="1:11">
      <c r="A130" s="1" t="str">
        <f t="shared" si="4"/>
        <v/>
      </c>
      <c r="B130" s="1" t="str">
        <f t="shared" si="5"/>
        <v/>
      </c>
      <c r="C130" s="1" t="str">
        <f t="shared" si="6"/>
        <v/>
      </c>
      <c r="D130" s="1" t="str">
        <f t="shared" si="7"/>
        <v/>
      </c>
      <c r="J130" s="13">
        <f t="shared" si="3"/>
        <v>0</v>
      </c>
      <c r="K130" s="1" t="s">
        <v>29</v>
      </c>
    </row>
    <row r="131" spans="1:11">
      <c r="A131" s="1" t="str">
        <f t="shared" si="4"/>
        <v/>
      </c>
      <c r="B131" s="1" t="str">
        <f t="shared" si="5"/>
        <v/>
      </c>
      <c r="C131" s="1" t="str">
        <f t="shared" si="6"/>
        <v/>
      </c>
      <c r="D131" s="1" t="str">
        <f t="shared" si="7"/>
        <v/>
      </c>
      <c r="J131" s="13">
        <f t="shared" si="3"/>
        <v>0</v>
      </c>
      <c r="K131" s="1" t="s">
        <v>24</v>
      </c>
    </row>
    <row r="132" spans="1:11">
      <c r="A132" s="1" t="str">
        <f t="shared" si="4"/>
        <v/>
      </c>
      <c r="B132" s="1" t="str">
        <f t="shared" si="5"/>
        <v/>
      </c>
      <c r="C132" s="1" t="str">
        <f t="shared" si="6"/>
        <v/>
      </c>
      <c r="D132" s="1" t="str">
        <f t="shared" si="7"/>
        <v/>
      </c>
      <c r="J132" s="13">
        <f t="shared" si="3"/>
        <v>0</v>
      </c>
      <c r="K132" s="1" t="s">
        <v>24</v>
      </c>
    </row>
    <row r="133" spans="1:11">
      <c r="A133" s="1" t="str">
        <f t="shared" si="4"/>
        <v/>
      </c>
      <c r="B133" s="1" t="str">
        <f t="shared" si="5"/>
        <v/>
      </c>
      <c r="C133" s="1" t="str">
        <f t="shared" si="6"/>
        <v/>
      </c>
      <c r="D133" s="1" t="str">
        <f t="shared" si="7"/>
        <v/>
      </c>
      <c r="J133" s="13">
        <f t="shared" si="3"/>
        <v>0</v>
      </c>
      <c r="K133" s="1" t="s">
        <v>59</v>
      </c>
    </row>
    <row r="134" spans="1:11">
      <c r="A134" s="1" t="str">
        <f t="shared" si="4"/>
        <v/>
      </c>
      <c r="B134" s="1" t="str">
        <f t="shared" si="5"/>
        <v/>
      </c>
      <c r="C134" s="1" t="str">
        <f t="shared" si="6"/>
        <v/>
      </c>
      <c r="D134" s="1" t="str">
        <f t="shared" si="7"/>
        <v/>
      </c>
      <c r="J134" s="13">
        <f t="shared" si="3"/>
        <v>0</v>
      </c>
      <c r="K134" s="1" t="s">
        <v>29</v>
      </c>
    </row>
    <row r="135" spans="1:11">
      <c r="A135" s="1" t="str">
        <f t="shared" si="4"/>
        <v/>
      </c>
      <c r="B135" s="1" t="str">
        <f t="shared" si="5"/>
        <v/>
      </c>
      <c r="C135" s="1" t="str">
        <f t="shared" si="6"/>
        <v/>
      </c>
      <c r="D135" s="1" t="str">
        <f t="shared" si="7"/>
        <v/>
      </c>
      <c r="J135" s="13">
        <f t="shared" si="3"/>
        <v>0</v>
      </c>
      <c r="K135" s="1" t="s">
        <v>24</v>
      </c>
    </row>
    <row r="136" spans="1:11">
      <c r="A136" s="1" t="str">
        <f t="shared" si="4"/>
        <v/>
      </c>
      <c r="B136" s="1" t="str">
        <f t="shared" si="5"/>
        <v/>
      </c>
      <c r="C136" s="1" t="str">
        <f t="shared" si="6"/>
        <v/>
      </c>
      <c r="D136" s="1" t="str">
        <f t="shared" si="7"/>
        <v/>
      </c>
      <c r="J136" s="13">
        <f t="shared" si="3"/>
        <v>0</v>
      </c>
      <c r="K136" s="1" t="s">
        <v>55</v>
      </c>
    </row>
    <row r="137" spans="1:11">
      <c r="A137" s="1" t="str">
        <f t="shared" si="4"/>
        <v/>
      </c>
      <c r="B137" s="1" t="str">
        <f t="shared" si="5"/>
        <v/>
      </c>
      <c r="C137" s="1" t="str">
        <f t="shared" si="6"/>
        <v/>
      </c>
      <c r="D137" s="1" t="str">
        <f t="shared" si="7"/>
        <v/>
      </c>
      <c r="J137" s="13">
        <f t="shared" si="3"/>
        <v>0</v>
      </c>
      <c r="K137" s="1" t="s">
        <v>24</v>
      </c>
    </row>
    <row r="138" spans="1:11">
      <c r="A138" s="1" t="str">
        <f t="shared" si="4"/>
        <v/>
      </c>
      <c r="B138" s="1" t="str">
        <f t="shared" si="5"/>
        <v/>
      </c>
      <c r="C138" s="1" t="str">
        <f t="shared" si="6"/>
        <v/>
      </c>
      <c r="D138" s="1" t="str">
        <f t="shared" si="7"/>
        <v/>
      </c>
      <c r="J138" s="13">
        <f t="shared" si="3"/>
        <v>0</v>
      </c>
      <c r="K138" s="1" t="s">
        <v>24</v>
      </c>
    </row>
    <row r="139" spans="1:11">
      <c r="A139" s="1" t="str">
        <f t="shared" si="4"/>
        <v/>
      </c>
      <c r="B139" s="1" t="str">
        <f t="shared" si="5"/>
        <v/>
      </c>
      <c r="C139" s="1" t="str">
        <f t="shared" si="6"/>
        <v/>
      </c>
      <c r="D139" s="1" t="str">
        <f t="shared" si="7"/>
        <v/>
      </c>
      <c r="J139" s="13">
        <f t="shared" si="3"/>
        <v>0</v>
      </c>
      <c r="K139" s="1" t="s">
        <v>59</v>
      </c>
    </row>
    <row r="140" spans="1:11">
      <c r="A140" s="1" t="str">
        <f t="shared" si="4"/>
        <v/>
      </c>
      <c r="B140" s="1" t="str">
        <f t="shared" si="5"/>
        <v/>
      </c>
      <c r="C140" s="1" t="str">
        <f t="shared" si="6"/>
        <v/>
      </c>
      <c r="D140" s="1" t="str">
        <f t="shared" si="7"/>
        <v/>
      </c>
      <c r="J140" s="13">
        <f t="shared" si="3"/>
        <v>0</v>
      </c>
      <c r="K140" s="1" t="s">
        <v>24</v>
      </c>
    </row>
    <row r="141" spans="1:11">
      <c r="A141" s="1" t="str">
        <f t="shared" si="4"/>
        <v/>
      </c>
      <c r="B141" s="1" t="str">
        <f t="shared" si="5"/>
        <v/>
      </c>
      <c r="C141" s="1" t="str">
        <f t="shared" si="6"/>
        <v/>
      </c>
      <c r="D141" s="1" t="str">
        <f t="shared" si="7"/>
        <v/>
      </c>
      <c r="J141" s="13">
        <f t="shared" si="3"/>
        <v>0</v>
      </c>
      <c r="K141" s="1" t="s">
        <v>29</v>
      </c>
    </row>
    <row r="142" spans="1:11">
      <c r="A142" s="1" t="str">
        <f t="shared" si="4"/>
        <v/>
      </c>
      <c r="B142" s="1" t="str">
        <f t="shared" si="5"/>
        <v/>
      </c>
      <c r="C142" s="1" t="str">
        <f t="shared" si="6"/>
        <v/>
      </c>
      <c r="D142" s="1" t="str">
        <f t="shared" si="7"/>
        <v/>
      </c>
      <c r="J142" s="13">
        <f t="shared" si="3"/>
        <v>0</v>
      </c>
      <c r="K142" s="1" t="s">
        <v>29</v>
      </c>
    </row>
    <row r="143" spans="1:11">
      <c r="A143" s="1" t="str">
        <f t="shared" si="4"/>
        <v/>
      </c>
      <c r="B143" s="1" t="str">
        <f t="shared" si="5"/>
        <v/>
      </c>
      <c r="C143" s="1" t="str">
        <f t="shared" si="6"/>
        <v/>
      </c>
      <c r="D143" s="1" t="str">
        <f t="shared" si="7"/>
        <v/>
      </c>
      <c r="J143" s="13">
        <f t="shared" si="3"/>
        <v>0</v>
      </c>
      <c r="K143" s="1" t="s">
        <v>29</v>
      </c>
    </row>
    <row r="144" spans="1:11">
      <c r="A144" s="1" t="str">
        <f t="shared" si="4"/>
        <v/>
      </c>
      <c r="B144" s="1" t="str">
        <f t="shared" si="5"/>
        <v/>
      </c>
      <c r="C144" s="1" t="str">
        <f t="shared" si="6"/>
        <v/>
      </c>
      <c r="D144" s="1" t="str">
        <f t="shared" si="7"/>
        <v/>
      </c>
      <c r="J144" s="13">
        <f t="shared" si="3"/>
        <v>0</v>
      </c>
      <c r="K144" s="1" t="s">
        <v>29</v>
      </c>
    </row>
    <row r="145" spans="1:11">
      <c r="A145" s="1" t="str">
        <f t="shared" si="4"/>
        <v/>
      </c>
      <c r="B145" s="1" t="str">
        <f t="shared" si="5"/>
        <v/>
      </c>
      <c r="C145" s="1" t="str">
        <f t="shared" si="6"/>
        <v/>
      </c>
      <c r="D145" s="1" t="str">
        <f t="shared" si="7"/>
        <v/>
      </c>
      <c r="J145" s="13">
        <f t="shared" si="3"/>
        <v>0</v>
      </c>
      <c r="K145" s="1" t="s">
        <v>24</v>
      </c>
    </row>
    <row r="146" spans="1:11">
      <c r="A146" s="1" t="str">
        <f t="shared" si="4"/>
        <v/>
      </c>
      <c r="B146" s="1" t="str">
        <f t="shared" si="5"/>
        <v/>
      </c>
      <c r="C146" s="1" t="str">
        <f t="shared" si="6"/>
        <v/>
      </c>
      <c r="D146" s="1" t="str">
        <f t="shared" si="7"/>
        <v/>
      </c>
      <c r="J146" s="13">
        <f t="shared" si="3"/>
        <v>0</v>
      </c>
      <c r="K146" s="1" t="s">
        <v>29</v>
      </c>
    </row>
    <row r="147" spans="1:11">
      <c r="A147" s="1" t="str">
        <f t="shared" si="4"/>
        <v/>
      </c>
      <c r="B147" s="1" t="str">
        <f t="shared" si="5"/>
        <v/>
      </c>
      <c r="C147" s="1" t="str">
        <f t="shared" si="6"/>
        <v/>
      </c>
      <c r="D147" s="1" t="str">
        <f t="shared" si="7"/>
        <v/>
      </c>
      <c r="J147" s="13">
        <f t="shared" si="3"/>
        <v>0</v>
      </c>
      <c r="K147" s="1"/>
    </row>
    <row r="148" spans="1:11">
      <c r="A148" s="1" t="str">
        <f t="shared" si="4"/>
        <v/>
      </c>
      <c r="B148" s="1" t="str">
        <f t="shared" si="5"/>
        <v/>
      </c>
      <c r="C148" s="1" t="str">
        <f t="shared" si="6"/>
        <v/>
      </c>
      <c r="D148" s="1" t="str">
        <f t="shared" si="7"/>
        <v/>
      </c>
      <c r="J148" s="13">
        <f t="shared" si="3"/>
        <v>0</v>
      </c>
      <c r="K148" s="1"/>
    </row>
    <row r="149" spans="1:11">
      <c r="A149" s="1" t="str">
        <f t="shared" si="4"/>
        <v/>
      </c>
      <c r="B149" s="1" t="str">
        <f t="shared" si="5"/>
        <v/>
      </c>
      <c r="C149" s="1" t="str">
        <f t="shared" si="6"/>
        <v/>
      </c>
      <c r="D149" s="1" t="str">
        <f t="shared" si="7"/>
        <v/>
      </c>
      <c r="J149" s="13">
        <f t="shared" si="3"/>
        <v>0</v>
      </c>
      <c r="K149" s="1"/>
    </row>
    <row r="150" spans="1:11">
      <c r="A150" s="1" t="str">
        <f t="shared" si="4"/>
        <v/>
      </c>
      <c r="B150" s="1" t="str">
        <f t="shared" si="5"/>
        <v/>
      </c>
      <c r="C150" s="1" t="str">
        <f t="shared" si="6"/>
        <v/>
      </c>
      <c r="D150" s="1" t="str">
        <f t="shared" si="7"/>
        <v/>
      </c>
      <c r="J150" s="13">
        <f t="shared" si="3"/>
        <v>0</v>
      </c>
      <c r="K150" s="1"/>
    </row>
    <row r="151" spans="1:11">
      <c r="A151" s="1" t="str">
        <f t="shared" si="4"/>
        <v/>
      </c>
      <c r="B151" s="1" t="str">
        <f t="shared" si="5"/>
        <v/>
      </c>
      <c r="C151" s="1" t="str">
        <f t="shared" si="6"/>
        <v/>
      </c>
      <c r="D151" s="1" t="str">
        <f t="shared" si="7"/>
        <v/>
      </c>
      <c r="J151" s="13">
        <f t="shared" si="3"/>
        <v>0</v>
      </c>
      <c r="K151" s="1"/>
    </row>
    <row r="152" spans="1:11">
      <c r="A152" s="1" t="str">
        <f t="shared" si="4"/>
        <v/>
      </c>
      <c r="B152" s="1" t="str">
        <f t="shared" si="5"/>
        <v/>
      </c>
      <c r="C152" s="1" t="str">
        <f t="shared" si="6"/>
        <v/>
      </c>
      <c r="D152" s="1" t="str">
        <f t="shared" si="7"/>
        <v/>
      </c>
      <c r="J152" s="13">
        <f t="shared" si="3"/>
        <v>0</v>
      </c>
      <c r="K152" s="1"/>
    </row>
    <row r="153" spans="1:11">
      <c r="A153" s="1" t="str">
        <f t="shared" si="4"/>
        <v/>
      </c>
      <c r="B153" s="1" t="str">
        <f t="shared" si="5"/>
        <v/>
      </c>
      <c r="C153" s="1" t="str">
        <f t="shared" si="6"/>
        <v/>
      </c>
      <c r="D153" s="1" t="str">
        <f t="shared" si="7"/>
        <v/>
      </c>
      <c r="J153" s="13">
        <f t="shared" si="3"/>
        <v>0</v>
      </c>
      <c r="K153" s="1"/>
    </row>
    <row r="154" spans="1:11">
      <c r="A154" s="1" t="str">
        <f t="shared" si="4"/>
        <v/>
      </c>
      <c r="B154" s="1" t="str">
        <f t="shared" si="5"/>
        <v/>
      </c>
      <c r="C154" s="1" t="str">
        <f t="shared" si="6"/>
        <v/>
      </c>
      <c r="D154" s="1" t="str">
        <f t="shared" si="7"/>
        <v/>
      </c>
      <c r="J154" s="13">
        <f t="shared" si="3"/>
        <v>0</v>
      </c>
      <c r="K154" s="1"/>
    </row>
    <row r="155" spans="1:11">
      <c r="A155" s="1" t="str">
        <f t="shared" si="4"/>
        <v/>
      </c>
      <c r="B155" s="1" t="str">
        <f t="shared" si="5"/>
        <v/>
      </c>
      <c r="C155" s="1" t="str">
        <f t="shared" si="6"/>
        <v/>
      </c>
      <c r="D155" s="1" t="str">
        <f t="shared" si="7"/>
        <v/>
      </c>
      <c r="J155" s="13">
        <f t="shared" si="3"/>
        <v>0</v>
      </c>
      <c r="K155" s="1"/>
    </row>
    <row r="156" spans="1:11">
      <c r="A156" s="1" t="str">
        <f t="shared" si="4"/>
        <v/>
      </c>
      <c r="B156" s="1" t="str">
        <f t="shared" si="5"/>
        <v/>
      </c>
      <c r="C156" s="1" t="str">
        <f t="shared" si="6"/>
        <v/>
      </c>
      <c r="D156" s="1" t="str">
        <f t="shared" si="7"/>
        <v/>
      </c>
      <c r="J156" s="13">
        <f t="shared" si="3"/>
        <v>0</v>
      </c>
      <c r="K156" s="1"/>
    </row>
    <row r="157" spans="1:11">
      <c r="A157" s="1" t="str">
        <f t="shared" si="4"/>
        <v/>
      </c>
      <c r="B157" s="1" t="str">
        <f t="shared" si="5"/>
        <v/>
      </c>
      <c r="C157" s="1" t="str">
        <f t="shared" si="6"/>
        <v/>
      </c>
      <c r="D157" s="1" t="str">
        <f t="shared" si="7"/>
        <v/>
      </c>
      <c r="J157" s="13">
        <f t="shared" si="3"/>
        <v>0</v>
      </c>
      <c r="K157" s="1"/>
    </row>
    <row r="158" spans="1:11">
      <c r="A158" s="1" t="str">
        <f t="shared" si="4"/>
        <v/>
      </c>
      <c r="B158" s="1" t="str">
        <f t="shared" si="5"/>
        <v/>
      </c>
      <c r="C158" s="1" t="str">
        <f t="shared" si="6"/>
        <v/>
      </c>
      <c r="D158" s="1" t="str">
        <f t="shared" si="7"/>
        <v/>
      </c>
      <c r="J158" s="13">
        <f t="shared" si="3"/>
        <v>0</v>
      </c>
      <c r="K158" s="1"/>
    </row>
    <row r="159" spans="1:11">
      <c r="A159" s="1" t="str">
        <f t="shared" si="4"/>
        <v/>
      </c>
      <c r="B159" s="1" t="str">
        <f t="shared" si="5"/>
        <v/>
      </c>
      <c r="C159" s="1" t="str">
        <f t="shared" si="6"/>
        <v/>
      </c>
      <c r="D159" s="1" t="str">
        <f t="shared" si="7"/>
        <v/>
      </c>
      <c r="J159" s="13">
        <f t="shared" si="3"/>
        <v>0</v>
      </c>
    </row>
    <row r="160" spans="1:11">
      <c r="A160" s="1" t="str">
        <f t="shared" si="4"/>
        <v/>
      </c>
      <c r="B160" s="1" t="str">
        <f t="shared" si="5"/>
        <v/>
      </c>
      <c r="C160" s="1" t="str">
        <f t="shared" si="6"/>
        <v/>
      </c>
      <c r="D160" s="1" t="str">
        <f t="shared" si="7"/>
        <v/>
      </c>
      <c r="J160" s="13">
        <f t="shared" si="3"/>
        <v>0</v>
      </c>
    </row>
    <row r="161" spans="1:11">
      <c r="A161" s="1" t="str">
        <f t="shared" si="4"/>
        <v/>
      </c>
      <c r="B161" s="1" t="str">
        <f t="shared" si="5"/>
        <v/>
      </c>
      <c r="C161" s="1" t="str">
        <f t="shared" si="6"/>
        <v/>
      </c>
      <c r="D161" s="1" t="str">
        <f t="shared" si="7"/>
        <v/>
      </c>
      <c r="J161" s="13">
        <f t="shared" si="3"/>
        <v>0</v>
      </c>
    </row>
    <row r="162" spans="1:11">
      <c r="A162" s="1" t="str">
        <f t="shared" si="4"/>
        <v/>
      </c>
      <c r="B162" s="1" t="str">
        <f t="shared" si="5"/>
        <v/>
      </c>
      <c r="C162" s="1" t="str">
        <f t="shared" si="6"/>
        <v/>
      </c>
      <c r="D162" s="1" t="str">
        <f t="shared" si="7"/>
        <v/>
      </c>
      <c r="J162" s="13">
        <f t="shared" si="3"/>
        <v>0</v>
      </c>
      <c r="K162" s="1"/>
    </row>
    <row r="163" spans="1:11">
      <c r="A163" s="1" t="str">
        <f t="shared" si="4"/>
        <v/>
      </c>
      <c r="B163" s="1" t="str">
        <f t="shared" si="5"/>
        <v/>
      </c>
      <c r="C163" s="1" t="str">
        <f t="shared" si="6"/>
        <v/>
      </c>
      <c r="D163" s="1" t="str">
        <f t="shared" si="7"/>
        <v/>
      </c>
      <c r="J163" s="13">
        <f t="shared" si="3"/>
        <v>0</v>
      </c>
      <c r="K163" s="1"/>
    </row>
    <row r="164" spans="1:11">
      <c r="A164" s="1" t="str">
        <f t="shared" si="4"/>
        <v/>
      </c>
      <c r="B164" s="1" t="str">
        <f t="shared" si="5"/>
        <v/>
      </c>
      <c r="C164" s="1" t="str">
        <f t="shared" si="6"/>
        <v/>
      </c>
      <c r="D164" s="1" t="str">
        <f t="shared" si="7"/>
        <v/>
      </c>
      <c r="J164" s="13">
        <f t="shared" si="3"/>
        <v>0</v>
      </c>
      <c r="K164" s="1"/>
    </row>
    <row r="165" spans="1:11">
      <c r="A165" s="1" t="str">
        <f t="shared" si="4"/>
        <v/>
      </c>
      <c r="B165" s="1" t="str">
        <f t="shared" si="5"/>
        <v/>
      </c>
      <c r="C165" s="1" t="str">
        <f t="shared" si="6"/>
        <v/>
      </c>
      <c r="D165" s="1" t="str">
        <f t="shared" si="7"/>
        <v/>
      </c>
      <c r="J165" s="13">
        <f t="shared" si="3"/>
        <v>0</v>
      </c>
      <c r="K165" s="1"/>
    </row>
    <row r="166" spans="1:11">
      <c r="A166" s="1" t="str">
        <f t="shared" si="4"/>
        <v/>
      </c>
      <c r="B166" s="1" t="str">
        <f t="shared" si="5"/>
        <v/>
      </c>
      <c r="C166" s="1" t="str">
        <f t="shared" si="6"/>
        <v/>
      </c>
      <c r="D166" s="1" t="str">
        <f t="shared" si="7"/>
        <v/>
      </c>
      <c r="J166" s="13">
        <f t="shared" si="3"/>
        <v>0</v>
      </c>
      <c r="K166" s="1"/>
    </row>
    <row r="167" spans="1:11">
      <c r="A167" s="1" t="str">
        <f t="shared" si="4"/>
        <v/>
      </c>
      <c r="B167" s="1" t="str">
        <f t="shared" si="5"/>
        <v/>
      </c>
      <c r="C167" s="1" t="str">
        <f t="shared" si="6"/>
        <v/>
      </c>
      <c r="D167" s="1" t="str">
        <f t="shared" si="7"/>
        <v/>
      </c>
      <c r="J167" s="13">
        <f t="shared" si="3"/>
        <v>0</v>
      </c>
      <c r="K167" s="1"/>
    </row>
    <row r="168" spans="1:11">
      <c r="A168" s="1" t="str">
        <f t="shared" si="4"/>
        <v/>
      </c>
      <c r="B168" s="1" t="str">
        <f t="shared" si="5"/>
        <v/>
      </c>
      <c r="C168" s="1" t="str">
        <f t="shared" si="6"/>
        <v/>
      </c>
      <c r="D168" s="1" t="str">
        <f t="shared" si="7"/>
        <v/>
      </c>
      <c r="J168" s="13">
        <f t="shared" si="3"/>
        <v>0</v>
      </c>
      <c r="K168" s="1"/>
    </row>
    <row r="169" spans="1:11">
      <c r="A169" s="1" t="str">
        <f t="shared" si="4"/>
        <v/>
      </c>
      <c r="B169" s="1" t="str">
        <f t="shared" si="5"/>
        <v/>
      </c>
      <c r="C169" s="1" t="str">
        <f t="shared" si="6"/>
        <v/>
      </c>
      <c r="D169" s="1" t="str">
        <f t="shared" si="7"/>
        <v/>
      </c>
      <c r="J169" s="13">
        <f t="shared" si="3"/>
        <v>0</v>
      </c>
      <c r="K169" s="1"/>
    </row>
    <row r="170" spans="1:11">
      <c r="A170" s="1" t="str">
        <f t="shared" si="4"/>
        <v/>
      </c>
      <c r="B170" s="1" t="str">
        <f t="shared" si="5"/>
        <v/>
      </c>
      <c r="C170" s="1" t="str">
        <f t="shared" si="6"/>
        <v/>
      </c>
      <c r="D170" s="1" t="str">
        <f t="shared" si="7"/>
        <v/>
      </c>
      <c r="J170" s="13">
        <f t="shared" si="3"/>
        <v>0</v>
      </c>
      <c r="K170" s="1"/>
    </row>
    <row r="171" spans="1:11">
      <c r="A171" s="1" t="str">
        <f t="shared" si="4"/>
        <v/>
      </c>
      <c r="B171" s="1" t="str">
        <f t="shared" si="5"/>
        <v/>
      </c>
      <c r="C171" s="1" t="str">
        <f t="shared" si="6"/>
        <v/>
      </c>
      <c r="D171" s="1" t="str">
        <f t="shared" si="7"/>
        <v/>
      </c>
      <c r="J171" s="13">
        <f t="shared" si="3"/>
        <v>0</v>
      </c>
      <c r="K171" s="1"/>
    </row>
    <row r="172" spans="1:11">
      <c r="A172" s="1" t="str">
        <f t="shared" si="4"/>
        <v/>
      </c>
      <c r="B172" s="1" t="str">
        <f t="shared" si="5"/>
        <v/>
      </c>
      <c r="C172" s="1" t="str">
        <f t="shared" si="6"/>
        <v/>
      </c>
      <c r="D172" s="1" t="str">
        <f t="shared" si="7"/>
        <v/>
      </c>
      <c r="J172" s="13">
        <f t="shared" si="3"/>
        <v>0</v>
      </c>
      <c r="K172" s="1"/>
    </row>
    <row r="173" spans="1:11">
      <c r="A173" s="1" t="str">
        <f t="shared" si="4"/>
        <v/>
      </c>
      <c r="B173" s="1" t="str">
        <f t="shared" si="5"/>
        <v/>
      </c>
      <c r="C173" s="1" t="str">
        <f t="shared" si="6"/>
        <v/>
      </c>
      <c r="D173" s="1" t="str">
        <f t="shared" si="7"/>
        <v/>
      </c>
      <c r="J173" s="13">
        <f t="shared" si="3"/>
        <v>0</v>
      </c>
      <c r="K173" s="1"/>
    </row>
    <row r="174" spans="1:11">
      <c r="A174" s="1" t="str">
        <f t="shared" si="4"/>
        <v/>
      </c>
      <c r="B174" s="1" t="str">
        <f t="shared" si="5"/>
        <v/>
      </c>
      <c r="C174" s="1" t="str">
        <f t="shared" si="6"/>
        <v/>
      </c>
      <c r="D174" s="1" t="str">
        <f t="shared" si="7"/>
        <v/>
      </c>
      <c r="J174" s="13">
        <f t="shared" si="3"/>
        <v>0</v>
      </c>
      <c r="K174" s="1"/>
    </row>
    <row r="175" spans="1:11">
      <c r="A175" s="1" t="str">
        <f t="shared" si="4"/>
        <v/>
      </c>
      <c r="B175" s="1" t="str">
        <f t="shared" si="5"/>
        <v/>
      </c>
      <c r="C175" s="1" t="str">
        <f t="shared" si="6"/>
        <v/>
      </c>
      <c r="D175" s="1" t="str">
        <f t="shared" si="7"/>
        <v/>
      </c>
      <c r="J175" s="13">
        <f t="shared" si="3"/>
        <v>0</v>
      </c>
      <c r="K175" s="1"/>
    </row>
    <row r="176" spans="1:11">
      <c r="A176" s="1" t="str">
        <f t="shared" si="4"/>
        <v/>
      </c>
      <c r="B176" s="1" t="str">
        <f t="shared" si="5"/>
        <v/>
      </c>
      <c r="C176" s="1" t="str">
        <f t="shared" si="6"/>
        <v/>
      </c>
      <c r="D176" s="1" t="str">
        <f t="shared" si="7"/>
        <v/>
      </c>
      <c r="J176" s="13">
        <f t="shared" si="3"/>
        <v>0</v>
      </c>
      <c r="K176" s="1"/>
    </row>
    <row r="177" spans="1:11">
      <c r="A177" s="1" t="str">
        <f t="shared" si="4"/>
        <v/>
      </c>
      <c r="B177" s="1" t="str">
        <f t="shared" si="5"/>
        <v/>
      </c>
      <c r="C177" s="1" t="str">
        <f t="shared" si="6"/>
        <v/>
      </c>
      <c r="D177" s="1" t="str">
        <f t="shared" si="7"/>
        <v/>
      </c>
      <c r="J177" s="13">
        <f t="shared" si="3"/>
        <v>0</v>
      </c>
      <c r="K177" s="1"/>
    </row>
    <row r="178" spans="1:11">
      <c r="A178" s="1" t="str">
        <f t="shared" si="4"/>
        <v/>
      </c>
      <c r="B178" s="1" t="str">
        <f t="shared" si="5"/>
        <v/>
      </c>
      <c r="C178" s="1" t="str">
        <f t="shared" si="6"/>
        <v/>
      </c>
      <c r="D178" s="1" t="str">
        <f t="shared" si="7"/>
        <v/>
      </c>
      <c r="J178" s="13">
        <f t="shared" si="3"/>
        <v>0</v>
      </c>
      <c r="K178" s="1"/>
    </row>
    <row r="179" spans="1:11">
      <c r="A179" s="1" t="str">
        <f t="shared" si="4"/>
        <v/>
      </c>
      <c r="B179" s="1" t="str">
        <f t="shared" si="5"/>
        <v/>
      </c>
      <c r="C179" s="1" t="str">
        <f t="shared" si="6"/>
        <v/>
      </c>
      <c r="D179" s="1" t="str">
        <f t="shared" si="7"/>
        <v/>
      </c>
      <c r="J179" s="13">
        <f t="shared" si="3"/>
        <v>0</v>
      </c>
      <c r="K179" s="1"/>
    </row>
    <row r="180" spans="1:11">
      <c r="A180" s="1" t="str">
        <f t="shared" si="4"/>
        <v/>
      </c>
      <c r="B180" s="1" t="str">
        <f t="shared" si="5"/>
        <v/>
      </c>
      <c r="C180" s="1" t="str">
        <f t="shared" si="6"/>
        <v/>
      </c>
      <c r="D180" s="1" t="str">
        <f t="shared" si="7"/>
        <v/>
      </c>
      <c r="J180" s="13">
        <f t="shared" si="3"/>
        <v>0</v>
      </c>
      <c r="K180" s="1"/>
    </row>
    <row r="181" spans="1:11">
      <c r="A181" s="1" t="str">
        <f t="shared" si="4"/>
        <v/>
      </c>
      <c r="B181" s="1" t="str">
        <f t="shared" si="5"/>
        <v/>
      </c>
      <c r="C181" s="1" t="str">
        <f t="shared" si="6"/>
        <v/>
      </c>
      <c r="D181" s="1" t="str">
        <f t="shared" si="7"/>
        <v/>
      </c>
      <c r="J181" s="13">
        <f t="shared" si="3"/>
        <v>0</v>
      </c>
      <c r="K181" s="1"/>
    </row>
    <row r="182" spans="1:11">
      <c r="A182" s="1" t="str">
        <f t="shared" si="4"/>
        <v/>
      </c>
      <c r="B182" s="1" t="str">
        <f t="shared" si="5"/>
        <v/>
      </c>
      <c r="C182" s="1" t="str">
        <f t="shared" si="6"/>
        <v/>
      </c>
      <c r="D182" s="1" t="str">
        <f t="shared" si="7"/>
        <v/>
      </c>
      <c r="J182" s="13">
        <f t="shared" si="3"/>
        <v>0</v>
      </c>
      <c r="K182" s="1"/>
    </row>
    <row r="183" spans="1:11">
      <c r="A183" s="1" t="str">
        <f t="shared" si="4"/>
        <v/>
      </c>
      <c r="B183" s="1" t="str">
        <f t="shared" si="5"/>
        <v/>
      </c>
      <c r="C183" s="1" t="str">
        <f t="shared" si="6"/>
        <v/>
      </c>
      <c r="D183" s="1" t="str">
        <f t="shared" si="7"/>
        <v/>
      </c>
      <c r="J183" s="13">
        <f t="shared" si="3"/>
        <v>0</v>
      </c>
      <c r="K183" s="1"/>
    </row>
    <row r="184" spans="1:11">
      <c r="A184" s="1" t="str">
        <f t="shared" si="4"/>
        <v/>
      </c>
      <c r="B184" s="1" t="str">
        <f t="shared" si="5"/>
        <v/>
      </c>
      <c r="C184" s="1" t="str">
        <f t="shared" si="6"/>
        <v/>
      </c>
      <c r="D184" s="1" t="str">
        <f t="shared" si="7"/>
        <v/>
      </c>
      <c r="J184" s="13">
        <f t="shared" si="3"/>
        <v>0</v>
      </c>
      <c r="K184" s="1"/>
    </row>
    <row r="185" spans="1:11">
      <c r="A185" s="1" t="str">
        <f t="shared" si="4"/>
        <v/>
      </c>
      <c r="B185" s="1" t="str">
        <f t="shared" si="5"/>
        <v/>
      </c>
      <c r="C185" s="1" t="str">
        <f t="shared" si="6"/>
        <v/>
      </c>
      <c r="D185" s="1" t="str">
        <f t="shared" si="7"/>
        <v/>
      </c>
      <c r="J185" s="13">
        <f t="shared" si="3"/>
        <v>0</v>
      </c>
      <c r="K185" s="1"/>
    </row>
    <row r="186" spans="1:11">
      <c r="A186" s="1" t="str">
        <f t="shared" si="4"/>
        <v/>
      </c>
      <c r="B186" s="1" t="str">
        <f t="shared" si="5"/>
        <v/>
      </c>
      <c r="C186" s="1" t="str">
        <f t="shared" si="6"/>
        <v/>
      </c>
      <c r="D186" s="1" t="str">
        <f t="shared" si="7"/>
        <v/>
      </c>
      <c r="J186" s="13">
        <f t="shared" si="3"/>
        <v>0</v>
      </c>
      <c r="K186" s="1"/>
    </row>
    <row r="187" spans="1:11">
      <c r="A187" s="1" t="str">
        <f t="shared" si="4"/>
        <v/>
      </c>
      <c r="B187" s="1" t="str">
        <f t="shared" si="5"/>
        <v/>
      </c>
      <c r="C187" s="1" t="str">
        <f t="shared" si="6"/>
        <v/>
      </c>
      <c r="D187" s="1" t="str">
        <f t="shared" si="7"/>
        <v/>
      </c>
      <c r="J187" s="13">
        <f t="shared" si="3"/>
        <v>0</v>
      </c>
      <c r="K187" s="1"/>
    </row>
    <row r="188" spans="1:11">
      <c r="A188" s="1" t="str">
        <f t="shared" si="4"/>
        <v/>
      </c>
      <c r="B188" s="1" t="str">
        <f t="shared" si="5"/>
        <v/>
      </c>
      <c r="C188" s="1" t="str">
        <f t="shared" si="6"/>
        <v/>
      </c>
      <c r="D188" s="1" t="str">
        <f t="shared" si="7"/>
        <v/>
      </c>
      <c r="J188" s="13">
        <f t="shared" si="3"/>
        <v>0</v>
      </c>
      <c r="K188" s="1"/>
    </row>
    <row r="189" spans="1:11">
      <c r="A189" s="1" t="str">
        <f t="shared" si="4"/>
        <v/>
      </c>
      <c r="B189" s="1" t="str">
        <f t="shared" si="5"/>
        <v/>
      </c>
      <c r="C189" s="1" t="str">
        <f t="shared" si="6"/>
        <v/>
      </c>
      <c r="D189" s="1" t="str">
        <f t="shared" si="7"/>
        <v/>
      </c>
      <c r="J189" s="13">
        <f t="shared" si="3"/>
        <v>0</v>
      </c>
      <c r="K189" s="1"/>
    </row>
    <row r="190" spans="1:11">
      <c r="A190" s="1" t="str">
        <f t="shared" si="4"/>
        <v/>
      </c>
      <c r="B190" s="1" t="str">
        <f t="shared" si="5"/>
        <v/>
      </c>
      <c r="C190" s="1" t="str">
        <f t="shared" si="6"/>
        <v/>
      </c>
      <c r="D190" s="1" t="str">
        <f t="shared" si="7"/>
        <v/>
      </c>
      <c r="J190" s="13">
        <f t="shared" si="3"/>
        <v>0</v>
      </c>
      <c r="K190" s="1"/>
    </row>
    <row r="191" spans="1:11">
      <c r="A191" s="1" t="str">
        <f t="shared" si="4"/>
        <v/>
      </c>
      <c r="B191" s="1" t="str">
        <f t="shared" si="5"/>
        <v/>
      </c>
      <c r="C191" s="1" t="str">
        <f t="shared" si="6"/>
        <v/>
      </c>
      <c r="D191" s="1" t="str">
        <f t="shared" si="7"/>
        <v/>
      </c>
      <c r="J191" s="13">
        <f t="shared" si="3"/>
        <v>0</v>
      </c>
      <c r="K191" s="1"/>
    </row>
    <row r="192" spans="1:11">
      <c r="A192" s="1" t="str">
        <f t="shared" si="4"/>
        <v/>
      </c>
      <c r="B192" s="1" t="str">
        <f t="shared" si="5"/>
        <v/>
      </c>
      <c r="C192" s="1" t="str">
        <f t="shared" si="6"/>
        <v/>
      </c>
      <c r="D192" s="1" t="str">
        <f t="shared" si="7"/>
        <v/>
      </c>
      <c r="J192" s="13">
        <f t="shared" si="3"/>
        <v>0</v>
      </c>
      <c r="K192" s="1"/>
    </row>
    <row r="193" spans="1:11">
      <c r="A193" s="1" t="str">
        <f t="shared" si="4"/>
        <v/>
      </c>
      <c r="B193" s="1" t="str">
        <f t="shared" si="5"/>
        <v/>
      </c>
      <c r="C193" s="1" t="str">
        <f t="shared" si="6"/>
        <v/>
      </c>
      <c r="D193" s="1" t="str">
        <f t="shared" si="7"/>
        <v/>
      </c>
      <c r="J193" s="13">
        <f t="shared" si="3"/>
        <v>0</v>
      </c>
      <c r="K193" s="1"/>
    </row>
    <row r="194" spans="1:11">
      <c r="A194" s="1" t="str">
        <f t="shared" si="4"/>
        <v/>
      </c>
      <c r="B194" s="1" t="str">
        <f t="shared" si="5"/>
        <v/>
      </c>
      <c r="C194" s="1" t="str">
        <f t="shared" si="6"/>
        <v/>
      </c>
      <c r="D194" s="1" t="str">
        <f t="shared" si="7"/>
        <v/>
      </c>
      <c r="J194" s="13">
        <f t="shared" si="3"/>
        <v>0</v>
      </c>
      <c r="K194" s="1"/>
    </row>
    <row r="195" spans="1:11">
      <c r="A195" s="1" t="str">
        <f t="shared" si="4"/>
        <v/>
      </c>
      <c r="B195" s="1" t="str">
        <f t="shared" si="5"/>
        <v/>
      </c>
      <c r="C195" s="1" t="str">
        <f t="shared" si="6"/>
        <v/>
      </c>
      <c r="D195" s="1" t="str">
        <f t="shared" si="7"/>
        <v/>
      </c>
      <c r="J195" s="13">
        <f t="shared" si="3"/>
        <v>0</v>
      </c>
      <c r="K195" s="1"/>
    </row>
    <row r="196" spans="1:11">
      <c r="A196" s="1" t="str">
        <f t="shared" si="4"/>
        <v/>
      </c>
      <c r="B196" s="1" t="str">
        <f t="shared" si="5"/>
        <v/>
      </c>
      <c r="C196" s="1" t="str">
        <f t="shared" si="6"/>
        <v/>
      </c>
      <c r="D196" s="1" t="str">
        <f t="shared" si="7"/>
        <v/>
      </c>
      <c r="J196" s="13">
        <f t="shared" si="3"/>
        <v>0</v>
      </c>
      <c r="K196" s="1"/>
    </row>
    <row r="197" spans="1:11">
      <c r="A197" s="1" t="str">
        <f t="shared" si="4"/>
        <v/>
      </c>
      <c r="B197" s="1" t="str">
        <f t="shared" si="5"/>
        <v/>
      </c>
      <c r="C197" s="1" t="str">
        <f t="shared" si="6"/>
        <v/>
      </c>
      <c r="D197" s="1" t="str">
        <f t="shared" si="7"/>
        <v/>
      </c>
      <c r="J197" s="13">
        <f t="shared" si="3"/>
        <v>0</v>
      </c>
      <c r="K197" s="1"/>
    </row>
    <row r="198" spans="1:11">
      <c r="A198" s="1" t="str">
        <f t="shared" si="4"/>
        <v/>
      </c>
      <c r="B198" s="1" t="str">
        <f t="shared" si="5"/>
        <v/>
      </c>
      <c r="C198" s="1" t="str">
        <f t="shared" si="6"/>
        <v/>
      </c>
      <c r="D198" s="1" t="str">
        <f t="shared" si="7"/>
        <v/>
      </c>
      <c r="J198" s="13">
        <f t="shared" si="3"/>
        <v>0</v>
      </c>
      <c r="K198" s="1"/>
    </row>
    <row r="199" spans="1:11">
      <c r="A199" s="1" t="str">
        <f t="shared" si="4"/>
        <v/>
      </c>
      <c r="B199" s="1" t="str">
        <f t="shared" si="5"/>
        <v/>
      </c>
      <c r="C199" s="1" t="str">
        <f t="shared" si="6"/>
        <v/>
      </c>
      <c r="D199" s="1" t="str">
        <f t="shared" si="7"/>
        <v/>
      </c>
      <c r="J199" s="13">
        <f t="shared" si="3"/>
        <v>0</v>
      </c>
      <c r="K199" s="1"/>
    </row>
    <row r="200" spans="1:11">
      <c r="A200" s="1" t="str">
        <f t="shared" si="4"/>
        <v/>
      </c>
      <c r="B200" s="1" t="str">
        <f t="shared" si="5"/>
        <v/>
      </c>
      <c r="C200" s="1" t="str">
        <f t="shared" si="6"/>
        <v/>
      </c>
      <c r="D200" s="1" t="str">
        <f t="shared" si="7"/>
        <v/>
      </c>
      <c r="J200" s="13">
        <f t="shared" si="3"/>
        <v>0</v>
      </c>
      <c r="K200" s="1"/>
    </row>
    <row r="201" spans="1:11">
      <c r="A201" s="1" t="str">
        <f t="shared" si="4"/>
        <v/>
      </c>
      <c r="B201" s="1" t="str">
        <f t="shared" si="5"/>
        <v/>
      </c>
      <c r="C201" s="1" t="str">
        <f t="shared" si="6"/>
        <v/>
      </c>
      <c r="D201" s="1" t="str">
        <f t="shared" si="7"/>
        <v/>
      </c>
      <c r="J201" s="13">
        <f t="shared" si="3"/>
        <v>0</v>
      </c>
      <c r="K201" s="1"/>
    </row>
    <row r="202" spans="1:11">
      <c r="A202" s="1" t="str">
        <f t="shared" si="4"/>
        <v/>
      </c>
      <c r="B202" s="1" t="str">
        <f t="shared" si="5"/>
        <v/>
      </c>
      <c r="C202" s="1" t="str">
        <f t="shared" si="6"/>
        <v/>
      </c>
      <c r="D202" s="1" t="str">
        <f t="shared" si="7"/>
        <v/>
      </c>
      <c r="J202" s="13">
        <f t="shared" si="3"/>
        <v>0</v>
      </c>
      <c r="K202" s="1"/>
    </row>
    <row r="203" spans="1:11">
      <c r="A203" s="1" t="str">
        <f t="shared" si="4"/>
        <v/>
      </c>
      <c r="B203" s="1" t="str">
        <f t="shared" si="5"/>
        <v/>
      </c>
      <c r="C203" s="1" t="str">
        <f t="shared" si="6"/>
        <v/>
      </c>
      <c r="D203" s="1" t="str">
        <f t="shared" si="7"/>
        <v/>
      </c>
      <c r="J203" s="13">
        <f t="shared" si="3"/>
        <v>0</v>
      </c>
      <c r="K203" s="1"/>
    </row>
    <row r="204" spans="1:11">
      <c r="A204" s="1" t="str">
        <f t="shared" si="4"/>
        <v/>
      </c>
      <c r="B204" s="1" t="str">
        <f t="shared" si="5"/>
        <v/>
      </c>
      <c r="C204" s="1" t="str">
        <f t="shared" si="6"/>
        <v/>
      </c>
      <c r="D204" s="1" t="str">
        <f t="shared" si="7"/>
        <v/>
      </c>
      <c r="J204" s="13">
        <f t="shared" si="3"/>
        <v>0</v>
      </c>
      <c r="K204" s="1"/>
    </row>
    <row r="205" spans="1:11">
      <c r="A205" s="1" t="str">
        <f t="shared" si="4"/>
        <v/>
      </c>
      <c r="B205" s="1" t="str">
        <f t="shared" si="5"/>
        <v/>
      </c>
      <c r="C205" s="1" t="str">
        <f t="shared" si="6"/>
        <v/>
      </c>
      <c r="D205" s="1" t="str">
        <f t="shared" si="7"/>
        <v/>
      </c>
      <c r="J205" s="13">
        <f t="shared" si="3"/>
        <v>0</v>
      </c>
      <c r="K205" s="1"/>
    </row>
    <row r="206" spans="1:11">
      <c r="A206" s="1" t="str">
        <f t="shared" si="4"/>
        <v/>
      </c>
      <c r="B206" s="1" t="str">
        <f t="shared" si="5"/>
        <v/>
      </c>
      <c r="C206" s="1" t="str">
        <f t="shared" si="6"/>
        <v/>
      </c>
      <c r="D206" s="1" t="str">
        <f t="shared" si="7"/>
        <v/>
      </c>
      <c r="J206" s="13">
        <f t="shared" si="3"/>
        <v>0</v>
      </c>
      <c r="K206" s="1"/>
    </row>
    <row r="207" spans="1:11">
      <c r="A207" s="1" t="str">
        <f t="shared" si="4"/>
        <v/>
      </c>
      <c r="B207" s="1" t="str">
        <f t="shared" si="5"/>
        <v/>
      </c>
      <c r="C207" s="1" t="str">
        <f t="shared" si="6"/>
        <v/>
      </c>
      <c r="D207" s="1" t="str">
        <f t="shared" si="7"/>
        <v/>
      </c>
      <c r="J207" s="13">
        <f t="shared" si="3"/>
        <v>0</v>
      </c>
      <c r="K207" s="1"/>
    </row>
    <row r="208" spans="1:11">
      <c r="A208" s="1" t="str">
        <f t="shared" si="4"/>
        <v/>
      </c>
      <c r="B208" s="1" t="str">
        <f t="shared" si="5"/>
        <v/>
      </c>
      <c r="C208" s="1" t="str">
        <f t="shared" si="6"/>
        <v/>
      </c>
      <c r="D208" s="1" t="str">
        <f t="shared" si="7"/>
        <v/>
      </c>
      <c r="J208" s="13">
        <f t="shared" si="3"/>
        <v>0</v>
      </c>
      <c r="K208" s="1"/>
    </row>
    <row r="209" spans="1:11">
      <c r="A209" s="1" t="str">
        <f t="shared" si="4"/>
        <v/>
      </c>
      <c r="B209" s="1" t="str">
        <f t="shared" si="5"/>
        <v/>
      </c>
      <c r="C209" s="1" t="str">
        <f t="shared" si="6"/>
        <v/>
      </c>
      <c r="D209" s="1" t="str">
        <f t="shared" si="7"/>
        <v/>
      </c>
      <c r="J209" s="13">
        <f t="shared" si="3"/>
        <v>0</v>
      </c>
      <c r="K209" s="1"/>
    </row>
    <row r="210" spans="1:11">
      <c r="A210" s="1" t="str">
        <f t="shared" si="4"/>
        <v/>
      </c>
      <c r="B210" s="1" t="str">
        <f t="shared" si="5"/>
        <v/>
      </c>
      <c r="C210" s="1" t="str">
        <f t="shared" si="6"/>
        <v/>
      </c>
      <c r="D210" s="1" t="str">
        <f t="shared" si="7"/>
        <v/>
      </c>
      <c r="J210" s="13">
        <f t="shared" si="3"/>
        <v>0</v>
      </c>
      <c r="K210" s="1"/>
    </row>
    <row r="211" spans="1:11">
      <c r="A211" s="1" t="str">
        <f t="shared" si="4"/>
        <v/>
      </c>
      <c r="B211" s="1" t="str">
        <f t="shared" si="5"/>
        <v/>
      </c>
      <c r="C211" s="1" t="str">
        <f t="shared" si="6"/>
        <v/>
      </c>
      <c r="D211" s="1" t="str">
        <f t="shared" si="7"/>
        <v/>
      </c>
      <c r="J211" s="13">
        <f t="shared" si="3"/>
        <v>0</v>
      </c>
      <c r="K211" s="1"/>
    </row>
    <row r="212" spans="1:11">
      <c r="A212" s="1" t="str">
        <f t="shared" si="4"/>
        <v/>
      </c>
      <c r="B212" s="1" t="str">
        <f t="shared" si="5"/>
        <v/>
      </c>
      <c r="C212" s="1" t="str">
        <f t="shared" si="6"/>
        <v/>
      </c>
      <c r="D212" s="1" t="str">
        <f t="shared" si="7"/>
        <v/>
      </c>
      <c r="J212" s="13">
        <f t="shared" si="3"/>
        <v>0</v>
      </c>
      <c r="K212" s="1"/>
    </row>
    <row r="213" spans="1:11">
      <c r="A213" s="1" t="str">
        <f t="shared" si="4"/>
        <v/>
      </c>
      <c r="B213" s="1" t="str">
        <f t="shared" si="5"/>
        <v/>
      </c>
      <c r="C213" s="1" t="str">
        <f t="shared" si="6"/>
        <v/>
      </c>
      <c r="D213" s="1" t="str">
        <f t="shared" si="7"/>
        <v/>
      </c>
      <c r="J213" s="13">
        <f t="shared" si="3"/>
        <v>0</v>
      </c>
      <c r="K213" s="1"/>
    </row>
    <row r="214" spans="1:11">
      <c r="A214" s="1" t="str">
        <f t="shared" si="4"/>
        <v/>
      </c>
      <c r="B214" s="1" t="str">
        <f t="shared" si="5"/>
        <v/>
      </c>
      <c r="C214" s="1" t="str">
        <f t="shared" si="6"/>
        <v/>
      </c>
      <c r="D214" s="1" t="str">
        <f t="shared" si="7"/>
        <v/>
      </c>
      <c r="K214" s="1"/>
    </row>
    <row r="215" spans="1:11">
      <c r="A215" s="1" t="str">
        <f t="shared" si="4"/>
        <v/>
      </c>
      <c r="B215" s="1" t="str">
        <f t="shared" si="5"/>
        <v/>
      </c>
      <c r="C215" s="1" t="str">
        <f t="shared" si="6"/>
        <v/>
      </c>
      <c r="D215" s="1" t="str">
        <f t="shared" si="7"/>
        <v/>
      </c>
      <c r="K215" s="1"/>
    </row>
    <row r="216" spans="1:11">
      <c r="A216" s="1" t="str">
        <f t="shared" si="4"/>
        <v/>
      </c>
      <c r="B216" s="1" t="str">
        <f t="shared" si="5"/>
        <v/>
      </c>
      <c r="C216" s="1" t="str">
        <f t="shared" si="6"/>
        <v/>
      </c>
      <c r="D216" s="1" t="str">
        <f t="shared" si="7"/>
        <v/>
      </c>
      <c r="K216" s="1"/>
    </row>
    <row r="217" spans="1:11">
      <c r="A217" s="1" t="str">
        <f t="shared" si="4"/>
        <v/>
      </c>
      <c r="B217" s="1" t="str">
        <f t="shared" si="5"/>
        <v/>
      </c>
      <c r="C217" s="1" t="str">
        <f t="shared" si="6"/>
        <v/>
      </c>
      <c r="D217" s="1" t="str">
        <f t="shared" si="7"/>
        <v/>
      </c>
      <c r="K217" s="1"/>
    </row>
    <row r="218" spans="1:11">
      <c r="A218" s="1" t="str">
        <f t="shared" si="4"/>
        <v/>
      </c>
      <c r="B218" s="1" t="str">
        <f t="shared" si="5"/>
        <v/>
      </c>
      <c r="C218" s="1" t="str">
        <f t="shared" si="6"/>
        <v/>
      </c>
      <c r="D218" s="1" t="str">
        <f t="shared" si="7"/>
        <v/>
      </c>
      <c r="K218" s="1"/>
    </row>
    <row r="219" spans="1:11">
      <c r="A219" s="1" t="str">
        <f t="shared" si="4"/>
        <v/>
      </c>
      <c r="B219" s="1" t="str">
        <f t="shared" si="5"/>
        <v/>
      </c>
      <c r="C219" s="1" t="str">
        <f t="shared" si="6"/>
        <v/>
      </c>
      <c r="D219" s="1" t="str">
        <f t="shared" si="7"/>
        <v/>
      </c>
      <c r="K219" s="1"/>
    </row>
    <row r="220" spans="1:11">
      <c r="A220" s="1" t="str">
        <f t="shared" si="4"/>
        <v/>
      </c>
      <c r="B220" s="1" t="str">
        <f t="shared" si="5"/>
        <v/>
      </c>
      <c r="C220" s="1" t="str">
        <f t="shared" si="6"/>
        <v/>
      </c>
      <c r="D220" s="1" t="str">
        <f t="shared" si="7"/>
        <v/>
      </c>
      <c r="K220" s="1"/>
    </row>
    <row r="221" spans="1:11">
      <c r="A221" s="1" t="str">
        <f t="shared" si="4"/>
        <v/>
      </c>
      <c r="B221" s="1" t="str">
        <f t="shared" si="5"/>
        <v/>
      </c>
      <c r="C221" s="1" t="str">
        <f t="shared" si="6"/>
        <v/>
      </c>
      <c r="D221" s="1" t="str">
        <f t="shared" si="7"/>
        <v/>
      </c>
      <c r="K221" s="1"/>
    </row>
    <row r="222" spans="1:11">
      <c r="A222" s="1" t="str">
        <f t="shared" si="4"/>
        <v/>
      </c>
      <c r="B222" s="1" t="str">
        <f t="shared" si="5"/>
        <v/>
      </c>
      <c r="C222" s="1" t="str">
        <f t="shared" si="6"/>
        <v/>
      </c>
      <c r="D222" s="1" t="str">
        <f t="shared" si="7"/>
        <v/>
      </c>
      <c r="K222" s="1"/>
    </row>
    <row r="223" spans="1:11">
      <c r="A223" s="1" t="str">
        <f t="shared" si="4"/>
        <v/>
      </c>
      <c r="B223" s="1" t="str">
        <f t="shared" si="5"/>
        <v/>
      </c>
      <c r="C223" s="1" t="str">
        <f t="shared" si="6"/>
        <v/>
      </c>
      <c r="D223" s="1" t="str">
        <f t="shared" si="7"/>
        <v/>
      </c>
      <c r="K223" s="1"/>
    </row>
    <row r="224" spans="1:11">
      <c r="A224" s="1" t="str">
        <f t="shared" si="4"/>
        <v/>
      </c>
      <c r="B224" s="1" t="str">
        <f t="shared" si="5"/>
        <v/>
      </c>
      <c r="C224" s="1" t="str">
        <f t="shared" si="6"/>
        <v/>
      </c>
      <c r="D224" s="1" t="str">
        <f t="shared" si="7"/>
        <v/>
      </c>
      <c r="K224" s="1"/>
    </row>
    <row r="225" spans="1:11">
      <c r="A225" s="1" t="str">
        <f t="shared" si="4"/>
        <v/>
      </c>
      <c r="B225" s="1" t="str">
        <f t="shared" si="5"/>
        <v/>
      </c>
      <c r="C225" s="1" t="str">
        <f t="shared" si="6"/>
        <v/>
      </c>
      <c r="D225" s="1" t="str">
        <f t="shared" si="7"/>
        <v/>
      </c>
      <c r="K225" s="1"/>
    </row>
    <row r="226" spans="1:11">
      <c r="A226" s="1" t="str">
        <f t="shared" si="4"/>
        <v/>
      </c>
      <c r="B226" s="1" t="str">
        <f t="shared" si="5"/>
        <v/>
      </c>
      <c r="C226" s="1" t="str">
        <f t="shared" si="6"/>
        <v/>
      </c>
      <c r="D226" s="1" t="str">
        <f t="shared" si="7"/>
        <v/>
      </c>
      <c r="K226" s="1"/>
    </row>
    <row r="227" spans="1:11">
      <c r="A227" s="1" t="str">
        <f t="shared" si="4"/>
        <v/>
      </c>
      <c r="B227" s="1" t="str">
        <f t="shared" si="5"/>
        <v/>
      </c>
      <c r="C227" s="1" t="str">
        <f t="shared" si="6"/>
        <v/>
      </c>
      <c r="D227" s="1" t="str">
        <f t="shared" si="7"/>
        <v/>
      </c>
      <c r="K227" s="1"/>
    </row>
    <row r="228" spans="1:11">
      <c r="A228" s="1" t="str">
        <f t="shared" si="4"/>
        <v/>
      </c>
      <c r="B228" s="1" t="str">
        <f t="shared" si="5"/>
        <v/>
      </c>
      <c r="C228" s="1" t="str">
        <f t="shared" si="6"/>
        <v/>
      </c>
      <c r="D228" s="1" t="str">
        <f t="shared" si="7"/>
        <v/>
      </c>
      <c r="K228" s="1"/>
    </row>
    <row r="229" spans="1:11">
      <c r="A229" s="1" t="str">
        <f t="shared" si="4"/>
        <v/>
      </c>
      <c r="B229" s="1" t="str">
        <f t="shared" si="5"/>
        <v/>
      </c>
      <c r="C229" s="1" t="str">
        <f t="shared" si="6"/>
        <v/>
      </c>
      <c r="D229" s="1" t="str">
        <f t="shared" si="7"/>
        <v/>
      </c>
      <c r="K229" s="1"/>
    </row>
    <row r="230" spans="1:11">
      <c r="A230" s="1" t="str">
        <f t="shared" si="4"/>
        <v/>
      </c>
      <c r="B230" s="1" t="str">
        <f t="shared" si="5"/>
        <v/>
      </c>
      <c r="C230" s="1" t="str">
        <f t="shared" si="6"/>
        <v/>
      </c>
      <c r="D230" s="1" t="str">
        <f t="shared" si="7"/>
        <v/>
      </c>
      <c r="K230" s="1"/>
    </row>
    <row r="231" spans="1:11">
      <c r="A231" s="1" t="str">
        <f t="shared" si="4"/>
        <v/>
      </c>
      <c r="B231" s="1" t="str">
        <f t="shared" si="5"/>
        <v/>
      </c>
      <c r="C231" s="1" t="str">
        <f t="shared" si="6"/>
        <v/>
      </c>
      <c r="D231" s="1" t="str">
        <f t="shared" si="7"/>
        <v/>
      </c>
      <c r="K231" s="1"/>
    </row>
    <row r="232" spans="1:11">
      <c r="A232" s="1" t="str">
        <f t="shared" si="4"/>
        <v/>
      </c>
      <c r="B232" s="1" t="str">
        <f t="shared" si="5"/>
        <v/>
      </c>
      <c r="C232" s="1" t="str">
        <f t="shared" si="6"/>
        <v/>
      </c>
      <c r="D232" s="1" t="str">
        <f t="shared" si="7"/>
        <v/>
      </c>
      <c r="K232" s="1"/>
    </row>
    <row r="233" spans="1:11">
      <c r="A233" s="1" t="str">
        <f t="shared" si="4"/>
        <v/>
      </c>
      <c r="B233" s="1" t="str">
        <f t="shared" si="5"/>
        <v/>
      </c>
      <c r="C233" s="1" t="str">
        <f t="shared" si="6"/>
        <v/>
      </c>
      <c r="D233" s="1" t="str">
        <f t="shared" si="7"/>
        <v/>
      </c>
      <c r="K233" s="1"/>
    </row>
    <row r="234" spans="1:11">
      <c r="A234" s="1" t="str">
        <f t="shared" si="4"/>
        <v/>
      </c>
      <c r="B234" s="1" t="str">
        <f t="shared" si="5"/>
        <v/>
      </c>
      <c r="C234" s="1" t="str">
        <f t="shared" si="6"/>
        <v/>
      </c>
      <c r="D234" s="1" t="str">
        <f t="shared" si="7"/>
        <v/>
      </c>
      <c r="K234" s="1"/>
    </row>
    <row r="235" spans="1:11">
      <c r="A235" s="1" t="str">
        <f t="shared" si="4"/>
        <v/>
      </c>
      <c r="B235" s="1" t="str">
        <f t="shared" si="5"/>
        <v/>
      </c>
      <c r="C235" s="1" t="str">
        <f t="shared" si="6"/>
        <v/>
      </c>
      <c r="D235" s="1" t="str">
        <f t="shared" si="7"/>
        <v/>
      </c>
      <c r="K235" s="1"/>
    </row>
    <row r="236" spans="1:11">
      <c r="A236" s="1" t="str">
        <f t="shared" si="4"/>
        <v/>
      </c>
      <c r="B236" s="1" t="str">
        <f t="shared" si="5"/>
        <v/>
      </c>
      <c r="C236" s="1" t="str">
        <f t="shared" si="6"/>
        <v/>
      </c>
      <c r="D236" s="1" t="str">
        <f t="shared" si="7"/>
        <v/>
      </c>
      <c r="K236" s="1"/>
    </row>
    <row r="237" spans="1:11">
      <c r="K237" s="1"/>
    </row>
    <row r="238" spans="1:11">
      <c r="K238" s="1"/>
    </row>
    <row r="239" spans="1:11">
      <c r="K239" s="1"/>
    </row>
    <row r="240" spans="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</sheetData>
  <autoFilter ref="K1:K1011" xr:uid="{00000000-0009-0000-0000-00000C000000}"/>
  <dataValidations count="1">
    <dataValidation type="list" allowBlank="1" showErrorMessage="1" sqref="K1:K158 K162:K1008" xr:uid="{00000000-0002-0000-0C00-000000000000}">
      <formula1>"Assurances/Mutuelle,Bricolage/Travaux,Catégorie,Charges,Courses,Divers,Internet/Téléphone,Logement,Loisirs,Medical,Scolarité,Soins,Vêtements,Voiture/Déplacement,Cadeau"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Budget</vt:lpstr>
      <vt:lpstr>Septembre 2026</vt:lpstr>
      <vt:lpstr>Aout 2026</vt:lpstr>
      <vt:lpstr>Juillet 2026</vt:lpstr>
      <vt:lpstr>Juin 2026</vt:lpstr>
      <vt:lpstr>Mai 2026</vt:lpstr>
      <vt:lpstr>Avril 2026</vt:lpstr>
      <vt:lpstr>Mars 2026</vt:lpstr>
      <vt:lpstr>Fevrier 2026</vt:lpstr>
      <vt:lpstr>Janvier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BOULLET, Pierre</cp:lastModifiedBy>
  <dcterms:modified xsi:type="dcterms:W3CDTF">2026-09-07T14:48:27Z</dcterms:modified>
</cp:coreProperties>
</file>